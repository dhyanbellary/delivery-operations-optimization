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8" firstSheet="2" activeTab="4"/>
  </bookViews>
  <sheets>
    <sheet name="Raw_Data" sheetId="1" r:id="rId1"/>
    <sheet name="Processed_Data" sheetId="3" r:id="rId2"/>
    <sheet name="KPI_Dashboard" sheetId="2" r:id="rId3"/>
    <sheet name="Pivot_Tables" sheetId="4" r:id="rId4"/>
    <sheet name="Charts" sheetId="5" r:id="rId5"/>
  </sheets>
  <calcPr calcId="162913"/>
  <pivotCaches>
    <pivotCache cacheId="11" r:id="rId6"/>
    <pivotCache cacheId="1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" i="3"/>
  <c r="C37" i="4"/>
  <c r="C36" i="4"/>
  <c r="C35" i="4"/>
  <c r="B35" i="4"/>
  <c r="B37" i="4"/>
  <c r="B36" i="4"/>
  <c r="D34" i="4"/>
  <c r="C34" i="4"/>
  <c r="B34" i="4"/>
  <c r="G19" i="4"/>
  <c r="G18" i="4"/>
  <c r="F19" i="4"/>
  <c r="F18" i="4"/>
  <c r="E12" i="4"/>
  <c r="E11" i="4"/>
  <c r="D13" i="4"/>
  <c r="D12" i="4"/>
  <c r="D11" i="4"/>
  <c r="B7" i="4"/>
  <c r="B6" i="4"/>
  <c r="B5" i="4"/>
  <c r="B4" i="4"/>
  <c r="B3" i="4"/>
  <c r="B12" i="2"/>
  <c r="AC14" i="3"/>
  <c r="D37" i="4" l="1"/>
  <c r="D36" i="4"/>
  <c r="C38" i="4"/>
  <c r="B38" i="4"/>
  <c r="D35" i="4"/>
  <c r="B30" i="2"/>
  <c r="B29" i="2"/>
  <c r="B23" i="2"/>
  <c r="B8" i="2"/>
  <c r="B7" i="2"/>
  <c r="B6" i="2"/>
  <c r="B50" i="2"/>
  <c r="B49" i="2"/>
  <c r="B48" i="2"/>
  <c r="B44" i="2"/>
  <c r="B43" i="2"/>
  <c r="B41" i="2"/>
  <c r="B42" i="2" s="1"/>
  <c r="B37" i="2"/>
  <c r="B36" i="2"/>
  <c r="B35" i="2"/>
  <c r="B34" i="2"/>
  <c r="B28" i="2"/>
  <c r="B27" i="2"/>
  <c r="B22" i="2"/>
  <c r="B21" i="2"/>
  <c r="B20" i="2"/>
  <c r="B16" i="2"/>
  <c r="B15" i="2"/>
  <c r="B14" i="2"/>
  <c r="B13" i="2"/>
  <c r="B5" i="2"/>
  <c r="B4" i="2"/>
  <c r="B3" i="2"/>
  <c r="AA3" i="3" l="1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" i="3"/>
  <c r="T246" i="3"/>
  <c r="T244" i="3"/>
  <c r="U238" i="3"/>
  <c r="Y238" i="3" s="1"/>
  <c r="T236" i="3"/>
  <c r="T230" i="3"/>
  <c r="U228" i="3"/>
  <c r="Y228" i="3" s="1"/>
  <c r="U222" i="3"/>
  <c r="Y222" i="3" s="1"/>
  <c r="U220" i="3"/>
  <c r="Y220" i="3" s="1"/>
  <c r="U214" i="3"/>
  <c r="Y214" i="3" s="1"/>
  <c r="T212" i="3"/>
  <c r="T206" i="3"/>
  <c r="T204" i="3"/>
  <c r="U198" i="3"/>
  <c r="Y198" i="3" s="1"/>
  <c r="U196" i="3"/>
  <c r="Y196" i="3" s="1"/>
  <c r="U190" i="3"/>
  <c r="Y190" i="3" s="1"/>
  <c r="U188" i="3"/>
  <c r="Y188" i="3" s="1"/>
  <c r="T182" i="3"/>
  <c r="T180" i="3"/>
  <c r="U174" i="3"/>
  <c r="Y174" i="3" s="1"/>
  <c r="T172" i="3"/>
  <c r="U166" i="3"/>
  <c r="Y166" i="3" s="1"/>
  <c r="U165" i="3"/>
  <c r="Y165" i="3" s="1"/>
  <c r="U164" i="3"/>
  <c r="Y164" i="3" s="1"/>
  <c r="U158" i="3"/>
  <c r="Y158" i="3" s="1"/>
  <c r="T157" i="3"/>
  <c r="U156" i="3"/>
  <c r="Y156" i="3" s="1"/>
  <c r="U150" i="3"/>
  <c r="Y150" i="3" s="1"/>
  <c r="U149" i="3"/>
  <c r="Y149" i="3" s="1"/>
  <c r="T148" i="3"/>
  <c r="U146" i="3"/>
  <c r="Y146" i="3" s="1"/>
  <c r="T142" i="3"/>
  <c r="T141" i="3"/>
  <c r="T140" i="3"/>
  <c r="U138" i="3"/>
  <c r="Y138" i="3" s="1"/>
  <c r="U134" i="3"/>
  <c r="Y134" i="3" s="1"/>
  <c r="U133" i="3"/>
  <c r="Y133" i="3" s="1"/>
  <c r="U132" i="3"/>
  <c r="Y132" i="3" s="1"/>
  <c r="U126" i="3"/>
  <c r="Y126" i="3" s="1"/>
  <c r="T125" i="3"/>
  <c r="U124" i="3"/>
  <c r="Y124" i="3" s="1"/>
  <c r="T118" i="3"/>
  <c r="U117" i="3"/>
  <c r="Y117" i="3" s="1"/>
  <c r="T116" i="3"/>
  <c r="U114" i="3"/>
  <c r="Y114" i="3" s="1"/>
  <c r="U110" i="3"/>
  <c r="Y110" i="3" s="1"/>
  <c r="U109" i="3"/>
  <c r="Y109" i="3" s="1"/>
  <c r="T108" i="3"/>
  <c r="U106" i="3"/>
  <c r="Y106" i="3" s="1"/>
  <c r="U102" i="3"/>
  <c r="Y102" i="3" s="1"/>
  <c r="U101" i="3"/>
  <c r="Y101" i="3" s="1"/>
  <c r="T100" i="3"/>
  <c r="U94" i="3"/>
  <c r="Y94" i="3" s="1"/>
  <c r="U93" i="3"/>
  <c r="Y93" i="3" s="1"/>
  <c r="U92" i="3"/>
  <c r="Y92" i="3" s="1"/>
  <c r="U86" i="3"/>
  <c r="Y86" i="3" s="1"/>
  <c r="U85" i="3"/>
  <c r="Y85" i="3" s="1"/>
  <c r="T84" i="3"/>
  <c r="U82" i="3"/>
  <c r="Y82" i="3" s="1"/>
  <c r="U78" i="3"/>
  <c r="Y78" i="3" s="1"/>
  <c r="U77" i="3"/>
  <c r="Y77" i="3" s="1"/>
  <c r="T76" i="3"/>
  <c r="U74" i="3"/>
  <c r="Y74" i="3" s="1"/>
  <c r="U70" i="3"/>
  <c r="Y70" i="3" s="1"/>
  <c r="U69" i="3"/>
  <c r="Y69" i="3" s="1"/>
  <c r="T68" i="3"/>
  <c r="T62" i="3"/>
  <c r="U61" i="3"/>
  <c r="Y61" i="3" s="1"/>
  <c r="U60" i="3"/>
  <c r="Y60" i="3" s="1"/>
  <c r="T54" i="3"/>
  <c r="U53" i="3"/>
  <c r="Y53" i="3" s="1"/>
  <c r="T52" i="3"/>
  <c r="U50" i="3"/>
  <c r="Y50" i="3" s="1"/>
  <c r="T46" i="3"/>
  <c r="U45" i="3"/>
  <c r="Y45" i="3" s="1"/>
  <c r="T44" i="3"/>
  <c r="U42" i="3"/>
  <c r="Y42" i="3" s="1"/>
  <c r="U38" i="3"/>
  <c r="Y38" i="3" s="1"/>
  <c r="U37" i="3"/>
  <c r="Y37" i="3" s="1"/>
  <c r="T36" i="3"/>
  <c r="T30" i="3"/>
  <c r="U29" i="3"/>
  <c r="Y29" i="3" s="1"/>
  <c r="U28" i="3"/>
  <c r="Y28" i="3" s="1"/>
  <c r="U22" i="3"/>
  <c r="Y22" i="3" s="1"/>
  <c r="U21" i="3"/>
  <c r="Y21" i="3" s="1"/>
  <c r="T20" i="3"/>
  <c r="U19" i="3"/>
  <c r="Y19" i="3" s="1"/>
  <c r="U18" i="3"/>
  <c r="Y18" i="3" s="1"/>
  <c r="T14" i="3"/>
  <c r="U13" i="3"/>
  <c r="Y13" i="3" s="1"/>
  <c r="T12" i="3"/>
  <c r="U10" i="3"/>
  <c r="Y10" i="3" s="1"/>
  <c r="U6" i="3"/>
  <c r="Y6" i="3" s="1"/>
  <c r="T5" i="3"/>
  <c r="T4" i="3"/>
  <c r="T9" i="3"/>
  <c r="U17" i="3"/>
  <c r="Y17" i="3" s="1"/>
  <c r="U25" i="3"/>
  <c r="Y25" i="3" s="1"/>
  <c r="U26" i="3"/>
  <c r="Y26" i="3" s="1"/>
  <c r="U33" i="3"/>
  <c r="Y33" i="3" s="1"/>
  <c r="U34" i="3"/>
  <c r="Y34" i="3" s="1"/>
  <c r="U41" i="3"/>
  <c r="Y41" i="3" s="1"/>
  <c r="U49" i="3"/>
  <c r="Y49" i="3" s="1"/>
  <c r="T57" i="3"/>
  <c r="U58" i="3"/>
  <c r="Y58" i="3" s="1"/>
  <c r="T65" i="3"/>
  <c r="U66" i="3"/>
  <c r="Y66" i="3" s="1"/>
  <c r="T73" i="3"/>
  <c r="U81" i="3"/>
  <c r="Y81" i="3" s="1"/>
  <c r="U89" i="3"/>
  <c r="Y89" i="3" s="1"/>
  <c r="U90" i="3"/>
  <c r="Y90" i="3" s="1"/>
  <c r="U97" i="3"/>
  <c r="Y97" i="3" s="1"/>
  <c r="U98" i="3"/>
  <c r="Y98" i="3" s="1"/>
  <c r="U105" i="3"/>
  <c r="Y105" i="3" s="1"/>
  <c r="U113" i="3"/>
  <c r="Y113" i="3" s="1"/>
  <c r="T121" i="3"/>
  <c r="U122" i="3"/>
  <c r="Y122" i="3" s="1"/>
  <c r="T129" i="3"/>
  <c r="U130" i="3"/>
  <c r="Y130" i="3" s="1"/>
  <c r="T137" i="3"/>
  <c r="U145" i="3"/>
  <c r="Y145" i="3" s="1"/>
  <c r="U153" i="3"/>
  <c r="Y153" i="3" s="1"/>
  <c r="U154" i="3"/>
  <c r="Y154" i="3" s="1"/>
  <c r="U161" i="3"/>
  <c r="Y161" i="3" s="1"/>
  <c r="U162" i="3"/>
  <c r="Y162" i="3" s="1"/>
  <c r="U169" i="3"/>
  <c r="Y169" i="3" s="1"/>
  <c r="U170" i="3"/>
  <c r="Y170" i="3" s="1"/>
  <c r="U177" i="3"/>
  <c r="Y177" i="3" s="1"/>
  <c r="U178" i="3"/>
  <c r="Y178" i="3" s="1"/>
  <c r="T185" i="3"/>
  <c r="U186" i="3"/>
  <c r="Y186" i="3" s="1"/>
  <c r="T193" i="3"/>
  <c r="U194" i="3"/>
  <c r="Y194" i="3" s="1"/>
  <c r="T201" i="3"/>
  <c r="U202" i="3"/>
  <c r="Y202" i="3" s="1"/>
  <c r="U209" i="3"/>
  <c r="Y209" i="3" s="1"/>
  <c r="U210" i="3"/>
  <c r="Y210" i="3" s="1"/>
  <c r="U217" i="3"/>
  <c r="Y217" i="3" s="1"/>
  <c r="U218" i="3"/>
  <c r="Y218" i="3" s="1"/>
  <c r="U225" i="3"/>
  <c r="Y225" i="3" s="1"/>
  <c r="U226" i="3"/>
  <c r="Y226" i="3" s="1"/>
  <c r="U233" i="3"/>
  <c r="Y233" i="3" s="1"/>
  <c r="U234" i="3"/>
  <c r="Y234" i="3" s="1"/>
  <c r="U241" i="3"/>
  <c r="Y241" i="3" s="1"/>
  <c r="U242" i="3"/>
  <c r="Y242" i="3" s="1"/>
  <c r="T249" i="3"/>
  <c r="U250" i="3"/>
  <c r="Y250" i="3" s="1"/>
  <c r="T2" i="3"/>
  <c r="AC3" i="3"/>
  <c r="AC4" i="3"/>
  <c r="AC5" i="3"/>
  <c r="AC6" i="3"/>
  <c r="AC7" i="3"/>
  <c r="AC8" i="3"/>
  <c r="AC9" i="3"/>
  <c r="AC10" i="3"/>
  <c r="AC11" i="3"/>
  <c r="AC12" i="3"/>
  <c r="AC13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" i="3"/>
  <c r="U7" i="3"/>
  <c r="Y7" i="3" s="1"/>
  <c r="U8" i="3"/>
  <c r="Y8" i="3" s="1"/>
  <c r="U11" i="3"/>
  <c r="Y11" i="3" s="1"/>
  <c r="U15" i="3"/>
  <c r="Y15" i="3" s="1"/>
  <c r="U16" i="3"/>
  <c r="Y16" i="3" s="1"/>
  <c r="U23" i="3"/>
  <c r="Y23" i="3" s="1"/>
  <c r="U24" i="3"/>
  <c r="Y24" i="3" s="1"/>
  <c r="U27" i="3"/>
  <c r="Y27" i="3" s="1"/>
  <c r="U31" i="3"/>
  <c r="Y31" i="3" s="1"/>
  <c r="U32" i="3"/>
  <c r="Y32" i="3" s="1"/>
  <c r="U35" i="3"/>
  <c r="Y35" i="3" s="1"/>
  <c r="U39" i="3"/>
  <c r="Y39" i="3" s="1"/>
  <c r="U40" i="3"/>
  <c r="Y40" i="3" s="1"/>
  <c r="U43" i="3"/>
  <c r="Y43" i="3" s="1"/>
  <c r="U47" i="3"/>
  <c r="Y47" i="3" s="1"/>
  <c r="U48" i="3"/>
  <c r="Y48" i="3" s="1"/>
  <c r="U51" i="3"/>
  <c r="Y51" i="3" s="1"/>
  <c r="U55" i="3"/>
  <c r="Y55" i="3" s="1"/>
  <c r="U56" i="3"/>
  <c r="Y56" i="3" s="1"/>
  <c r="U59" i="3"/>
  <c r="Y59" i="3" s="1"/>
  <c r="U63" i="3"/>
  <c r="Y63" i="3" s="1"/>
  <c r="U64" i="3"/>
  <c r="Y64" i="3" s="1"/>
  <c r="U67" i="3"/>
  <c r="Y67" i="3" s="1"/>
  <c r="U71" i="3"/>
  <c r="Y71" i="3" s="1"/>
  <c r="U72" i="3"/>
  <c r="Y72" i="3" s="1"/>
  <c r="U75" i="3"/>
  <c r="Y75" i="3" s="1"/>
  <c r="U79" i="3"/>
  <c r="Y79" i="3" s="1"/>
  <c r="U80" i="3"/>
  <c r="Y80" i="3" s="1"/>
  <c r="U83" i="3"/>
  <c r="Y83" i="3" s="1"/>
  <c r="U87" i="3"/>
  <c r="Y87" i="3" s="1"/>
  <c r="U88" i="3"/>
  <c r="Y88" i="3" s="1"/>
  <c r="U91" i="3"/>
  <c r="Y91" i="3" s="1"/>
  <c r="U95" i="3"/>
  <c r="Y95" i="3" s="1"/>
  <c r="U96" i="3"/>
  <c r="Y96" i="3" s="1"/>
  <c r="U99" i="3"/>
  <c r="Y99" i="3" s="1"/>
  <c r="U103" i="3"/>
  <c r="Y103" i="3" s="1"/>
  <c r="U104" i="3"/>
  <c r="Y104" i="3" s="1"/>
  <c r="U107" i="3"/>
  <c r="Y107" i="3" s="1"/>
  <c r="U111" i="3"/>
  <c r="Y111" i="3" s="1"/>
  <c r="U112" i="3"/>
  <c r="Y112" i="3" s="1"/>
  <c r="U115" i="3"/>
  <c r="Y115" i="3" s="1"/>
  <c r="U119" i="3"/>
  <c r="Y119" i="3" s="1"/>
  <c r="U120" i="3"/>
  <c r="Y120" i="3" s="1"/>
  <c r="U121" i="3"/>
  <c r="Y121" i="3" s="1"/>
  <c r="U123" i="3"/>
  <c r="Y123" i="3" s="1"/>
  <c r="U125" i="3"/>
  <c r="Y125" i="3" s="1"/>
  <c r="U127" i="3"/>
  <c r="Y127" i="3" s="1"/>
  <c r="U128" i="3"/>
  <c r="Y128" i="3" s="1"/>
  <c r="U131" i="3"/>
  <c r="Y131" i="3" s="1"/>
  <c r="U135" i="3"/>
  <c r="Y135" i="3" s="1"/>
  <c r="U136" i="3"/>
  <c r="Y136" i="3" s="1"/>
  <c r="U139" i="3"/>
  <c r="Y139" i="3" s="1"/>
  <c r="U141" i="3"/>
  <c r="Y141" i="3" s="1"/>
  <c r="U143" i="3"/>
  <c r="Y143" i="3" s="1"/>
  <c r="U144" i="3"/>
  <c r="Y144" i="3" s="1"/>
  <c r="U147" i="3"/>
  <c r="Y147" i="3" s="1"/>
  <c r="U151" i="3"/>
  <c r="Y151" i="3" s="1"/>
  <c r="U152" i="3"/>
  <c r="Y152" i="3" s="1"/>
  <c r="U155" i="3"/>
  <c r="Y155" i="3" s="1"/>
  <c r="U157" i="3"/>
  <c r="Y157" i="3" s="1"/>
  <c r="U159" i="3"/>
  <c r="Y159" i="3" s="1"/>
  <c r="U160" i="3"/>
  <c r="Y160" i="3" s="1"/>
  <c r="U163" i="3"/>
  <c r="Y163" i="3" s="1"/>
  <c r="U167" i="3"/>
  <c r="Y167" i="3" s="1"/>
  <c r="U168" i="3"/>
  <c r="Y168" i="3" s="1"/>
  <c r="U171" i="3"/>
  <c r="Y171" i="3" s="1"/>
  <c r="U173" i="3"/>
  <c r="Y173" i="3" s="1"/>
  <c r="U175" i="3"/>
  <c r="Y175" i="3" s="1"/>
  <c r="U176" i="3"/>
  <c r="Y176" i="3" s="1"/>
  <c r="U179" i="3"/>
  <c r="Y179" i="3" s="1"/>
  <c r="U181" i="3"/>
  <c r="Y181" i="3" s="1"/>
  <c r="U183" i="3"/>
  <c r="Y183" i="3" s="1"/>
  <c r="U184" i="3"/>
  <c r="Y184" i="3" s="1"/>
  <c r="U187" i="3"/>
  <c r="Y187" i="3" s="1"/>
  <c r="U189" i="3"/>
  <c r="Y189" i="3" s="1"/>
  <c r="U191" i="3"/>
  <c r="Y191" i="3" s="1"/>
  <c r="U192" i="3"/>
  <c r="Y192" i="3" s="1"/>
  <c r="U195" i="3"/>
  <c r="Y195" i="3" s="1"/>
  <c r="U197" i="3"/>
  <c r="Y197" i="3" s="1"/>
  <c r="U199" i="3"/>
  <c r="Y199" i="3" s="1"/>
  <c r="U200" i="3"/>
  <c r="Y200" i="3" s="1"/>
  <c r="U203" i="3"/>
  <c r="Y203" i="3" s="1"/>
  <c r="U205" i="3"/>
  <c r="Y205" i="3" s="1"/>
  <c r="U207" i="3"/>
  <c r="Y207" i="3" s="1"/>
  <c r="U208" i="3"/>
  <c r="Y208" i="3" s="1"/>
  <c r="U211" i="3"/>
  <c r="Y211" i="3" s="1"/>
  <c r="U213" i="3"/>
  <c r="Y213" i="3" s="1"/>
  <c r="U215" i="3"/>
  <c r="Y215" i="3" s="1"/>
  <c r="U216" i="3"/>
  <c r="Y216" i="3" s="1"/>
  <c r="U219" i="3"/>
  <c r="Y219" i="3" s="1"/>
  <c r="U221" i="3"/>
  <c r="Y221" i="3" s="1"/>
  <c r="U223" i="3"/>
  <c r="Y223" i="3" s="1"/>
  <c r="U224" i="3"/>
  <c r="Y224" i="3" s="1"/>
  <c r="U227" i="3"/>
  <c r="Y227" i="3" s="1"/>
  <c r="U229" i="3"/>
  <c r="Y229" i="3" s="1"/>
  <c r="U231" i="3"/>
  <c r="Y231" i="3" s="1"/>
  <c r="U232" i="3"/>
  <c r="Y232" i="3" s="1"/>
  <c r="U235" i="3"/>
  <c r="Y235" i="3" s="1"/>
  <c r="U237" i="3"/>
  <c r="Y237" i="3" s="1"/>
  <c r="U239" i="3"/>
  <c r="Y239" i="3" s="1"/>
  <c r="U240" i="3"/>
  <c r="Y240" i="3" s="1"/>
  <c r="U243" i="3"/>
  <c r="Y243" i="3" s="1"/>
  <c r="U245" i="3"/>
  <c r="Y245" i="3" s="1"/>
  <c r="U247" i="3"/>
  <c r="Y247" i="3" s="1"/>
  <c r="U248" i="3"/>
  <c r="Y248" i="3" s="1"/>
  <c r="U251" i="3"/>
  <c r="Y251" i="3" s="1"/>
  <c r="U3" i="3"/>
  <c r="Y3" i="3" s="1"/>
  <c r="T3" i="3"/>
  <c r="T7" i="3"/>
  <c r="T8" i="3"/>
  <c r="T11" i="3"/>
  <c r="T15" i="3"/>
  <c r="T16" i="3"/>
  <c r="T19" i="3"/>
  <c r="T23" i="3"/>
  <c r="T24" i="3"/>
  <c r="T27" i="3"/>
  <c r="T31" i="3"/>
  <c r="T32" i="3"/>
  <c r="T35" i="3"/>
  <c r="T39" i="3"/>
  <c r="T40" i="3"/>
  <c r="T43" i="3"/>
  <c r="T47" i="3"/>
  <c r="T48" i="3"/>
  <c r="T51" i="3"/>
  <c r="T55" i="3"/>
  <c r="T56" i="3"/>
  <c r="T59" i="3"/>
  <c r="T63" i="3"/>
  <c r="T64" i="3"/>
  <c r="T67" i="3"/>
  <c r="T71" i="3"/>
  <c r="T72" i="3"/>
  <c r="T75" i="3"/>
  <c r="T79" i="3"/>
  <c r="T80" i="3"/>
  <c r="T83" i="3"/>
  <c r="T87" i="3"/>
  <c r="T88" i="3"/>
  <c r="T91" i="3"/>
  <c r="T95" i="3"/>
  <c r="T96" i="3"/>
  <c r="T99" i="3"/>
  <c r="T103" i="3"/>
  <c r="T104" i="3"/>
  <c r="T107" i="3"/>
  <c r="T111" i="3"/>
  <c r="T112" i="3"/>
  <c r="T115" i="3"/>
  <c r="T119" i="3"/>
  <c r="T120" i="3"/>
  <c r="T123" i="3"/>
  <c r="T127" i="3"/>
  <c r="T128" i="3"/>
  <c r="T131" i="3"/>
  <c r="T135" i="3"/>
  <c r="T136" i="3"/>
  <c r="T139" i="3"/>
  <c r="T143" i="3"/>
  <c r="T144" i="3"/>
  <c r="T147" i="3"/>
  <c r="T151" i="3"/>
  <c r="T152" i="3"/>
  <c r="T155" i="3"/>
  <c r="T159" i="3"/>
  <c r="T160" i="3"/>
  <c r="T163" i="3"/>
  <c r="T167" i="3"/>
  <c r="T168" i="3"/>
  <c r="T171" i="3"/>
  <c r="T173" i="3"/>
  <c r="T175" i="3"/>
  <c r="T176" i="3"/>
  <c r="T179" i="3"/>
  <c r="T181" i="3"/>
  <c r="T183" i="3"/>
  <c r="T184" i="3"/>
  <c r="T187" i="3"/>
  <c r="T189" i="3"/>
  <c r="T191" i="3"/>
  <c r="T192" i="3"/>
  <c r="T195" i="3"/>
  <c r="T197" i="3"/>
  <c r="T199" i="3"/>
  <c r="T200" i="3"/>
  <c r="T203" i="3"/>
  <c r="T205" i="3"/>
  <c r="T207" i="3"/>
  <c r="T208" i="3"/>
  <c r="T211" i="3"/>
  <c r="T213" i="3"/>
  <c r="T215" i="3"/>
  <c r="T216" i="3"/>
  <c r="T217" i="3"/>
  <c r="T219" i="3"/>
  <c r="T221" i="3"/>
  <c r="T223" i="3"/>
  <c r="T224" i="3"/>
  <c r="T227" i="3"/>
  <c r="T229" i="3"/>
  <c r="T231" i="3"/>
  <c r="T232" i="3"/>
  <c r="T235" i="3"/>
  <c r="T237" i="3"/>
  <c r="T239" i="3"/>
  <c r="T240" i="3"/>
  <c r="T243" i="3"/>
  <c r="T245" i="3"/>
  <c r="T247" i="3"/>
  <c r="T248" i="3"/>
  <c r="T251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T149" i="3" l="1"/>
  <c r="T101" i="3"/>
  <c r="T69" i="3"/>
  <c r="T53" i="3"/>
  <c r="U5" i="3"/>
  <c r="Y5" i="3" s="1"/>
  <c r="T165" i="3"/>
  <c r="T133" i="3"/>
  <c r="T117" i="3"/>
  <c r="T85" i="3"/>
  <c r="T37" i="3"/>
  <c r="T109" i="3"/>
  <c r="T93" i="3"/>
  <c r="T77" i="3"/>
  <c r="T61" i="3"/>
  <c r="T45" i="3"/>
  <c r="T29" i="3"/>
  <c r="T166" i="3"/>
  <c r="T38" i="3"/>
  <c r="U246" i="3"/>
  <c r="Y246" i="3" s="1"/>
  <c r="U182" i="3"/>
  <c r="Y182" i="3" s="1"/>
  <c r="T102" i="3"/>
  <c r="U62" i="3"/>
  <c r="Y62" i="3" s="1"/>
  <c r="T190" i="3"/>
  <c r="T126" i="3"/>
  <c r="U206" i="3"/>
  <c r="Y206" i="3" s="1"/>
  <c r="U142" i="3"/>
  <c r="Y142" i="3" s="1"/>
  <c r="U118" i="3"/>
  <c r="Y118" i="3" s="1"/>
  <c r="U46" i="3"/>
  <c r="Y46" i="3" s="1"/>
  <c r="U30" i="3"/>
  <c r="Y30" i="3" s="1"/>
  <c r="T238" i="3"/>
  <c r="T214" i="3"/>
  <c r="T150" i="3"/>
  <c r="T86" i="3"/>
  <c r="T22" i="3"/>
  <c r="T6" i="3"/>
  <c r="U230" i="3"/>
  <c r="Y230" i="3" s="1"/>
  <c r="U14" i="3"/>
  <c r="Y14" i="3" s="1"/>
  <c r="T174" i="3"/>
  <c r="T110" i="3"/>
  <c r="T222" i="3"/>
  <c r="T198" i="3"/>
  <c r="T134" i="3"/>
  <c r="T70" i="3"/>
  <c r="U54" i="3"/>
  <c r="Y54" i="3" s="1"/>
  <c r="T158" i="3"/>
  <c r="T94" i="3"/>
  <c r="T78" i="3"/>
  <c r="U4" i="3"/>
  <c r="Y4" i="3" s="1"/>
  <c r="T13" i="3"/>
  <c r="U100" i="3"/>
  <c r="Y100" i="3" s="1"/>
  <c r="U36" i="3"/>
  <c r="Y36" i="3" s="1"/>
  <c r="T21" i="3"/>
  <c r="T220" i="3"/>
  <c r="U68" i="3"/>
  <c r="Y68" i="3" s="1"/>
  <c r="T188" i="3"/>
  <c r="T156" i="3"/>
  <c r="T124" i="3"/>
  <c r="T92" i="3"/>
  <c r="T60" i="3"/>
  <c r="T28" i="3"/>
  <c r="U236" i="3"/>
  <c r="Y236" i="3" s="1"/>
  <c r="U204" i="3"/>
  <c r="Y204" i="3" s="1"/>
  <c r="U172" i="3"/>
  <c r="Y172" i="3" s="1"/>
  <c r="U140" i="3"/>
  <c r="Y140" i="3" s="1"/>
  <c r="T228" i="3"/>
  <c r="U108" i="3"/>
  <c r="Y108" i="3" s="1"/>
  <c r="U76" i="3"/>
  <c r="Y76" i="3" s="1"/>
  <c r="U44" i="3"/>
  <c r="Y44" i="3" s="1"/>
  <c r="U12" i="3"/>
  <c r="Y12" i="3" s="1"/>
  <c r="T196" i="3"/>
  <c r="T164" i="3"/>
  <c r="T132" i="3"/>
  <c r="U244" i="3"/>
  <c r="Y244" i="3" s="1"/>
  <c r="U212" i="3"/>
  <c r="Y212" i="3" s="1"/>
  <c r="U180" i="3"/>
  <c r="Y180" i="3" s="1"/>
  <c r="U148" i="3"/>
  <c r="Y148" i="3" s="1"/>
  <c r="U116" i="3"/>
  <c r="Y116" i="3" s="1"/>
  <c r="U84" i="3"/>
  <c r="Y84" i="3" s="1"/>
  <c r="U52" i="3"/>
  <c r="Y52" i="3" s="1"/>
  <c r="U20" i="3"/>
  <c r="Y20" i="3" s="1"/>
  <c r="T145" i="3"/>
  <c r="U129" i="3"/>
  <c r="Y129" i="3" s="1"/>
  <c r="T153" i="3"/>
  <c r="U57" i="3"/>
  <c r="Y57" i="3" s="1"/>
  <c r="T81" i="3"/>
  <c r="U65" i="3"/>
  <c r="Y65" i="3" s="1"/>
  <c r="T89" i="3"/>
  <c r="U249" i="3"/>
  <c r="Y249" i="3" s="1"/>
  <c r="T17" i="3"/>
  <c r="T25" i="3"/>
  <c r="U185" i="3"/>
  <c r="Y185" i="3" s="1"/>
  <c r="T209" i="3"/>
  <c r="U193" i="3"/>
  <c r="Y193" i="3" s="1"/>
  <c r="T161" i="3"/>
  <c r="T97" i="3"/>
  <c r="T33" i="3"/>
  <c r="U201" i="3"/>
  <c r="Y201" i="3" s="1"/>
  <c r="U137" i="3"/>
  <c r="Y137" i="3" s="1"/>
  <c r="U73" i="3"/>
  <c r="Y73" i="3" s="1"/>
  <c r="U9" i="3"/>
  <c r="Y9" i="3" s="1"/>
  <c r="T233" i="3"/>
  <c r="T169" i="3"/>
  <c r="T105" i="3"/>
  <c r="T41" i="3"/>
  <c r="T241" i="3"/>
  <c r="T177" i="3"/>
  <c r="T113" i="3"/>
  <c r="T49" i="3"/>
  <c r="T225" i="3"/>
  <c r="T250" i="3"/>
  <c r="T242" i="3"/>
  <c r="T234" i="3"/>
  <c r="T226" i="3"/>
  <c r="T218" i="3"/>
  <c r="T210" i="3"/>
  <c r="T202" i="3"/>
  <c r="T194" i="3"/>
  <c r="T186" i="3"/>
  <c r="T178" i="3"/>
  <c r="T170" i="3"/>
  <c r="T162" i="3"/>
  <c r="T154" i="3"/>
  <c r="T146" i="3"/>
  <c r="T138" i="3"/>
  <c r="T130" i="3"/>
  <c r="T122" i="3"/>
  <c r="T114" i="3"/>
  <c r="T106" i="3"/>
  <c r="T98" i="3"/>
  <c r="T90" i="3"/>
  <c r="T82" i="3"/>
  <c r="T74" i="3"/>
  <c r="T66" i="3"/>
  <c r="T58" i="3"/>
  <c r="T50" i="3"/>
  <c r="T42" i="3"/>
  <c r="T34" i="3"/>
  <c r="T26" i="3"/>
  <c r="T18" i="3"/>
  <c r="T10" i="3"/>
  <c r="U2" i="3"/>
  <c r="Y2" i="3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" i="1"/>
</calcChain>
</file>

<file path=xl/sharedStrings.xml><?xml version="1.0" encoding="utf-8"?>
<sst xmlns="http://schemas.openxmlformats.org/spreadsheetml/2006/main" count="5248" uniqueCount="885">
  <si>
    <t>Order_ID</t>
  </si>
  <si>
    <t>Order_Time</t>
  </si>
  <si>
    <t>Prep_Time</t>
  </si>
  <si>
    <t>Ready_Time</t>
  </si>
  <si>
    <t>Rider_Assigned_Time</t>
  </si>
  <si>
    <t>Pickup_Time</t>
  </si>
  <si>
    <t>Delivery_Time</t>
  </si>
  <si>
    <t>Distance_km</t>
  </si>
  <si>
    <t>Rider_ID</t>
  </si>
  <si>
    <t>Order_Value</t>
  </si>
  <si>
    <t>Delivery_Cost</t>
  </si>
  <si>
    <t>Status</t>
  </si>
  <si>
    <t>Rider_Availability</t>
  </si>
  <si>
    <t>Traffic_Level</t>
  </si>
  <si>
    <t>Delivery_Failure</t>
  </si>
  <si>
    <t>Delay_Reason</t>
  </si>
  <si>
    <t>O1</t>
  </si>
  <si>
    <t>11:54</t>
  </si>
  <si>
    <t>12:04</t>
  </si>
  <si>
    <t>12:06</t>
  </si>
  <si>
    <t>12:31</t>
  </si>
  <si>
    <t>R18</t>
  </si>
  <si>
    <t>Delivered</t>
  </si>
  <si>
    <t>Medium</t>
  </si>
  <si>
    <t>No</t>
  </si>
  <si>
    <t>O2</t>
  </si>
  <si>
    <t>11:48</t>
  </si>
  <si>
    <t>11:50</t>
  </si>
  <si>
    <t>R1</t>
  </si>
  <si>
    <t>O3</t>
  </si>
  <si>
    <t>19:34</t>
  </si>
  <si>
    <t>19:47</t>
  </si>
  <si>
    <t>19:49</t>
  </si>
  <si>
    <t>R6</t>
  </si>
  <si>
    <t>High</t>
  </si>
  <si>
    <t>O4</t>
  </si>
  <si>
    <t>17:12</t>
  </si>
  <si>
    <t>17:27</t>
  </si>
  <si>
    <t>17:29</t>
  </si>
  <si>
    <t>17:52</t>
  </si>
  <si>
    <t>R13</t>
  </si>
  <si>
    <t>O5</t>
  </si>
  <si>
    <t>11:39</t>
  </si>
  <si>
    <t>11:56</t>
  </si>
  <si>
    <t>O6</t>
  </si>
  <si>
    <t>R7</t>
  </si>
  <si>
    <t>O7</t>
  </si>
  <si>
    <t>11:21</t>
  </si>
  <si>
    <t>11:23</t>
  </si>
  <si>
    <t>R4</t>
  </si>
  <si>
    <t>O8</t>
  </si>
  <si>
    <t>16:29</t>
  </si>
  <si>
    <t>16:43</t>
  </si>
  <si>
    <t>16:45</t>
  </si>
  <si>
    <t>R9</t>
  </si>
  <si>
    <t>Low</t>
  </si>
  <si>
    <t>O9</t>
  </si>
  <si>
    <t>11:13</t>
  </si>
  <si>
    <t>11:32</t>
  </si>
  <si>
    <t>11:34</t>
  </si>
  <si>
    <t>O10</t>
  </si>
  <si>
    <t>19:50</t>
  </si>
  <si>
    <t>R3</t>
  </si>
  <si>
    <t>O11</t>
  </si>
  <si>
    <t>14:21</t>
  </si>
  <si>
    <t>R5</t>
  </si>
  <si>
    <t>O12</t>
  </si>
  <si>
    <t>14:43</t>
  </si>
  <si>
    <t>15:19</t>
  </si>
  <si>
    <t>R19</t>
  </si>
  <si>
    <t>O13</t>
  </si>
  <si>
    <t>17:05</t>
  </si>
  <si>
    <t>O14</t>
  </si>
  <si>
    <t>12:36</t>
  </si>
  <si>
    <t>12:56</t>
  </si>
  <si>
    <t>12:58</t>
  </si>
  <si>
    <t>R15</t>
  </si>
  <si>
    <t>Failed</t>
  </si>
  <si>
    <t>Yes</t>
  </si>
  <si>
    <t>O15</t>
  </si>
  <si>
    <t>19:01</t>
  </si>
  <si>
    <t>19:15</t>
  </si>
  <si>
    <t>20:00</t>
  </si>
  <si>
    <t>O16</t>
  </si>
  <si>
    <t>16:19</t>
  </si>
  <si>
    <t>O17</t>
  </si>
  <si>
    <t>18:32</t>
  </si>
  <si>
    <t>18:44</t>
  </si>
  <si>
    <t>18:46</t>
  </si>
  <si>
    <t>19:31</t>
  </si>
  <si>
    <t>R20</t>
  </si>
  <si>
    <t>O18</t>
  </si>
  <si>
    <t>13:23</t>
  </si>
  <si>
    <t>13:35</t>
  </si>
  <si>
    <t>14:11</t>
  </si>
  <si>
    <t>O19</t>
  </si>
  <si>
    <t>15:31</t>
  </si>
  <si>
    <t>15:50</t>
  </si>
  <si>
    <t>16:32</t>
  </si>
  <si>
    <t>R2</t>
  </si>
  <si>
    <t>O20</t>
  </si>
  <si>
    <t>14:06</t>
  </si>
  <si>
    <t>14:27</t>
  </si>
  <si>
    <t>15:02</t>
  </si>
  <si>
    <t>O21</t>
  </si>
  <si>
    <t>12:11</t>
  </si>
  <si>
    <t>12:33</t>
  </si>
  <si>
    <t>O22</t>
  </si>
  <si>
    <t>19:12</t>
  </si>
  <si>
    <t>19:25</t>
  </si>
  <si>
    <t>19:37</t>
  </si>
  <si>
    <t>O23</t>
  </si>
  <si>
    <t>14:13</t>
  </si>
  <si>
    <t>14:28</t>
  </si>
  <si>
    <t>14:40</t>
  </si>
  <si>
    <t>O24</t>
  </si>
  <si>
    <t>11:12</t>
  </si>
  <si>
    <t>11:52</t>
  </si>
  <si>
    <t>R17</t>
  </si>
  <si>
    <t>O25</t>
  </si>
  <si>
    <t>14:17</t>
  </si>
  <si>
    <t>14:39</t>
  </si>
  <si>
    <t>R16</t>
  </si>
  <si>
    <t>O26</t>
  </si>
  <si>
    <t>14:08</t>
  </si>
  <si>
    <t>14:41</t>
  </si>
  <si>
    <t>R14</t>
  </si>
  <si>
    <t>O27</t>
  </si>
  <si>
    <t>18:08</t>
  </si>
  <si>
    <t>R11</t>
  </si>
  <si>
    <t>O28</t>
  </si>
  <si>
    <t>11:51</t>
  </si>
  <si>
    <t>O29</t>
  </si>
  <si>
    <t>O30</t>
  </si>
  <si>
    <t>11:35</t>
  </si>
  <si>
    <t>O31</t>
  </si>
  <si>
    <t>13:04</t>
  </si>
  <si>
    <t>13:06</t>
  </si>
  <si>
    <t>O32</t>
  </si>
  <si>
    <t>19:29</t>
  </si>
  <si>
    <t>19:51</t>
  </si>
  <si>
    <t>20:19</t>
  </si>
  <si>
    <t>O33</t>
  </si>
  <si>
    <t>11:02</t>
  </si>
  <si>
    <t>11:17</t>
  </si>
  <si>
    <t>O34</t>
  </si>
  <si>
    <t>18:53</t>
  </si>
  <si>
    <t>19:11</t>
  </si>
  <si>
    <t>O35</t>
  </si>
  <si>
    <t>19:56</t>
  </si>
  <si>
    <t>19:58</t>
  </si>
  <si>
    <t>O36</t>
  </si>
  <si>
    <t>18:55</t>
  </si>
  <si>
    <t>O37</t>
  </si>
  <si>
    <t>15:24</t>
  </si>
  <si>
    <t>15:26</t>
  </si>
  <si>
    <t>15:36</t>
  </si>
  <si>
    <t>O38</t>
  </si>
  <si>
    <t>19:23</t>
  </si>
  <si>
    <t>19:53</t>
  </si>
  <si>
    <t>R8</t>
  </si>
  <si>
    <t>O39</t>
  </si>
  <si>
    <t>16:34</t>
  </si>
  <si>
    <t>17:16</t>
  </si>
  <si>
    <t>O40</t>
  </si>
  <si>
    <t>10:59</t>
  </si>
  <si>
    <t>O41</t>
  </si>
  <si>
    <t>O42</t>
  </si>
  <si>
    <t>18:37</t>
  </si>
  <si>
    <t>19:14</t>
  </si>
  <si>
    <t>O43</t>
  </si>
  <si>
    <t>15:41</t>
  </si>
  <si>
    <t>15:55</t>
  </si>
  <si>
    <t>O44</t>
  </si>
  <si>
    <t>10:22</t>
  </si>
  <si>
    <t>O45</t>
  </si>
  <si>
    <t>12:49</t>
  </si>
  <si>
    <t>R12</t>
  </si>
  <si>
    <t>O46</t>
  </si>
  <si>
    <t>14:20</t>
  </si>
  <si>
    <t>O47</t>
  </si>
  <si>
    <t>12:53</t>
  </si>
  <si>
    <t>13:43</t>
  </si>
  <si>
    <t>O48</t>
  </si>
  <si>
    <t>15:40</t>
  </si>
  <si>
    <t>15:56</t>
  </si>
  <si>
    <t>15:58</t>
  </si>
  <si>
    <t>O49</t>
  </si>
  <si>
    <t>10:56</t>
  </si>
  <si>
    <t>O50</t>
  </si>
  <si>
    <t>O51</t>
  </si>
  <si>
    <t>O52</t>
  </si>
  <si>
    <t>11:58</t>
  </si>
  <si>
    <t>12:12</t>
  </si>
  <si>
    <t>12:14</t>
  </si>
  <si>
    <t>O53</t>
  </si>
  <si>
    <t>16:08</t>
  </si>
  <si>
    <t>O54</t>
  </si>
  <si>
    <t>10:45</t>
  </si>
  <si>
    <t>11:01</t>
  </si>
  <si>
    <t>11:03</t>
  </si>
  <si>
    <t>O55</t>
  </si>
  <si>
    <t>16:28</t>
  </si>
  <si>
    <t>16:30</t>
  </si>
  <si>
    <t>17:17</t>
  </si>
  <si>
    <t>O56</t>
  </si>
  <si>
    <t>15:25</t>
  </si>
  <si>
    <t>15:27</t>
  </si>
  <si>
    <t>O57</t>
  </si>
  <si>
    <t>13:16</t>
  </si>
  <si>
    <t>13:34</t>
  </si>
  <si>
    <t>R10</t>
  </si>
  <si>
    <t>O58</t>
  </si>
  <si>
    <t>16:55</t>
  </si>
  <si>
    <t>17:15</t>
  </si>
  <si>
    <t>17:37</t>
  </si>
  <si>
    <t>O59</t>
  </si>
  <si>
    <t>18:15</t>
  </si>
  <si>
    <t>18:42</t>
  </si>
  <si>
    <t>O60</t>
  </si>
  <si>
    <t>14:50</t>
  </si>
  <si>
    <t>15:08</t>
  </si>
  <si>
    <t>15:10</t>
  </si>
  <si>
    <t>15:46</t>
  </si>
  <si>
    <t>O61</t>
  </si>
  <si>
    <t>13:50</t>
  </si>
  <si>
    <t>14:05</t>
  </si>
  <si>
    <t>O62</t>
  </si>
  <si>
    <t>18:02</t>
  </si>
  <si>
    <t>18:04</t>
  </si>
  <si>
    <t>18:29</t>
  </si>
  <si>
    <t>O63</t>
  </si>
  <si>
    <t>O64</t>
  </si>
  <si>
    <t>13:56</t>
  </si>
  <si>
    <t>14:36</t>
  </si>
  <si>
    <t>O65</t>
  </si>
  <si>
    <t>17:47</t>
  </si>
  <si>
    <t>O66</t>
  </si>
  <si>
    <t>18:52</t>
  </si>
  <si>
    <t>19:28</t>
  </si>
  <si>
    <t>O67</t>
  </si>
  <si>
    <t>14:33</t>
  </si>
  <si>
    <t>O68</t>
  </si>
  <si>
    <t>14:14</t>
  </si>
  <si>
    <t>14:16</t>
  </si>
  <si>
    <t>O69</t>
  </si>
  <si>
    <t>O70</t>
  </si>
  <si>
    <t>17:10</t>
  </si>
  <si>
    <t>17:28</t>
  </si>
  <si>
    <t>18:20</t>
  </si>
  <si>
    <t>O71</t>
  </si>
  <si>
    <t>11:10</t>
  </si>
  <si>
    <t>O72</t>
  </si>
  <si>
    <t>14:02</t>
  </si>
  <si>
    <t>14:04</t>
  </si>
  <si>
    <t>O73</t>
  </si>
  <si>
    <t>O74</t>
  </si>
  <si>
    <t>11:25</t>
  </si>
  <si>
    <t>11:45</t>
  </si>
  <si>
    <t>11:47</t>
  </si>
  <si>
    <t>O75</t>
  </si>
  <si>
    <t>13:53</t>
  </si>
  <si>
    <t>14:38</t>
  </si>
  <si>
    <t>O76</t>
  </si>
  <si>
    <t>18:11</t>
  </si>
  <si>
    <t>O77</t>
  </si>
  <si>
    <t>10:41</t>
  </si>
  <si>
    <t>10:51</t>
  </si>
  <si>
    <t>10:53</t>
  </si>
  <si>
    <t>O78</t>
  </si>
  <si>
    <t>12:16</t>
  </si>
  <si>
    <t>13:00</t>
  </si>
  <si>
    <t>O79</t>
  </si>
  <si>
    <t>12:46</t>
  </si>
  <si>
    <t>O80</t>
  </si>
  <si>
    <t>17:39</t>
  </si>
  <si>
    <t>O81</t>
  </si>
  <si>
    <t>12:03</t>
  </si>
  <si>
    <t>12:22</t>
  </si>
  <si>
    <t>12:24</t>
  </si>
  <si>
    <t>O82</t>
  </si>
  <si>
    <t>16:17</t>
  </si>
  <si>
    <t>O83</t>
  </si>
  <si>
    <t>12:52</t>
  </si>
  <si>
    <t>O84</t>
  </si>
  <si>
    <t>18:34</t>
  </si>
  <si>
    <t>O85</t>
  </si>
  <si>
    <t>15:04</t>
  </si>
  <si>
    <t>O86</t>
  </si>
  <si>
    <t>15:44</t>
  </si>
  <si>
    <t>O87</t>
  </si>
  <si>
    <t>14:42</t>
  </si>
  <si>
    <t>15:00</t>
  </si>
  <si>
    <t>O88</t>
  </si>
  <si>
    <t>O89</t>
  </si>
  <si>
    <t>13:46</t>
  </si>
  <si>
    <t>O90</t>
  </si>
  <si>
    <t>16:35</t>
  </si>
  <si>
    <t>O91</t>
  </si>
  <si>
    <t>14:07</t>
  </si>
  <si>
    <t>14:09</t>
  </si>
  <si>
    <t>O92</t>
  </si>
  <si>
    <t>O93</t>
  </si>
  <si>
    <t>13:18</t>
  </si>
  <si>
    <t>O94</t>
  </si>
  <si>
    <t>10:46</t>
  </si>
  <si>
    <t>O95</t>
  </si>
  <si>
    <t>20:01</t>
  </si>
  <si>
    <t>20:03</t>
  </si>
  <si>
    <t>O96</t>
  </si>
  <si>
    <t>O97</t>
  </si>
  <si>
    <t>19:36</t>
  </si>
  <si>
    <t>O98</t>
  </si>
  <si>
    <t>17:30</t>
  </si>
  <si>
    <t>O99</t>
  </si>
  <si>
    <t>11:20</t>
  </si>
  <si>
    <t>11:22</t>
  </si>
  <si>
    <t>O100</t>
  </si>
  <si>
    <t>12:55</t>
  </si>
  <si>
    <t>O101</t>
  </si>
  <si>
    <t>18:43</t>
  </si>
  <si>
    <t>O102</t>
  </si>
  <si>
    <t>14:52</t>
  </si>
  <si>
    <t>O103</t>
  </si>
  <si>
    <t>12:32</t>
  </si>
  <si>
    <t>O104</t>
  </si>
  <si>
    <t>14:55</t>
  </si>
  <si>
    <t>15:12</t>
  </si>
  <si>
    <t>15:51</t>
  </si>
  <si>
    <t>O105</t>
  </si>
  <si>
    <t>O106</t>
  </si>
  <si>
    <t>10:37</t>
  </si>
  <si>
    <t>11:28</t>
  </si>
  <si>
    <t>O107</t>
  </si>
  <si>
    <t>20:08</t>
  </si>
  <si>
    <t>20:10</t>
  </si>
  <si>
    <t>O108</t>
  </si>
  <si>
    <t>18:23</t>
  </si>
  <si>
    <t>19:07</t>
  </si>
  <si>
    <t>O109</t>
  </si>
  <si>
    <t>15:37</t>
  </si>
  <si>
    <t>O110</t>
  </si>
  <si>
    <t>11:30</t>
  </si>
  <si>
    <t>O111</t>
  </si>
  <si>
    <t>19:32</t>
  </si>
  <si>
    <t>O112</t>
  </si>
  <si>
    <t>10:52</t>
  </si>
  <si>
    <t>11:05</t>
  </si>
  <si>
    <t>O113</t>
  </si>
  <si>
    <t>10:29</t>
  </si>
  <si>
    <t>10:49</t>
  </si>
  <si>
    <t>O114</t>
  </si>
  <si>
    <t>12:21</t>
  </si>
  <si>
    <t>O115</t>
  </si>
  <si>
    <t>18:41</t>
  </si>
  <si>
    <t>18:57</t>
  </si>
  <si>
    <t>O116</t>
  </si>
  <si>
    <t>O117</t>
  </si>
  <si>
    <t>16:06</t>
  </si>
  <si>
    <t>16:27</t>
  </si>
  <si>
    <t>O118</t>
  </si>
  <si>
    <t>13:21</t>
  </si>
  <si>
    <t>O119</t>
  </si>
  <si>
    <t>15:42</t>
  </si>
  <si>
    <t>O120</t>
  </si>
  <si>
    <t>18:22</t>
  </si>
  <si>
    <t>O121</t>
  </si>
  <si>
    <t>12:27</t>
  </si>
  <si>
    <t>O122</t>
  </si>
  <si>
    <t>17:57</t>
  </si>
  <si>
    <t>O123</t>
  </si>
  <si>
    <t>14:48</t>
  </si>
  <si>
    <t>O124</t>
  </si>
  <si>
    <t>O125</t>
  </si>
  <si>
    <t>O126</t>
  </si>
  <si>
    <t>12:02</t>
  </si>
  <si>
    <t>O127</t>
  </si>
  <si>
    <t>O128</t>
  </si>
  <si>
    <t>O129</t>
  </si>
  <si>
    <t>12:26</t>
  </si>
  <si>
    <t>12:39</t>
  </si>
  <si>
    <t>12:41</t>
  </si>
  <si>
    <t>13:09</t>
  </si>
  <si>
    <t>O130</t>
  </si>
  <si>
    <t>14:54</t>
  </si>
  <si>
    <t>O131</t>
  </si>
  <si>
    <t>O132</t>
  </si>
  <si>
    <t>20:02</t>
  </si>
  <si>
    <t>O133</t>
  </si>
  <si>
    <t>11:16</t>
  </si>
  <si>
    <t>O134</t>
  </si>
  <si>
    <t>O135</t>
  </si>
  <si>
    <t>O136</t>
  </si>
  <si>
    <t>11:46</t>
  </si>
  <si>
    <t>O137</t>
  </si>
  <si>
    <t>19:03</t>
  </si>
  <si>
    <t>19:21</t>
  </si>
  <si>
    <t>O138</t>
  </si>
  <si>
    <t>O139</t>
  </si>
  <si>
    <t>19:54</t>
  </si>
  <si>
    <t>O140</t>
  </si>
  <si>
    <t>20:14</t>
  </si>
  <si>
    <t>O141</t>
  </si>
  <si>
    <t>14:56</t>
  </si>
  <si>
    <t>O142</t>
  </si>
  <si>
    <t>12:13</t>
  </si>
  <si>
    <t>O143</t>
  </si>
  <si>
    <t>O144</t>
  </si>
  <si>
    <t>13:40</t>
  </si>
  <si>
    <t>O145</t>
  </si>
  <si>
    <t>13:42</t>
  </si>
  <si>
    <t>O146</t>
  </si>
  <si>
    <t>16:07</t>
  </si>
  <si>
    <t>16:37</t>
  </si>
  <si>
    <t>O147</t>
  </si>
  <si>
    <t>O148</t>
  </si>
  <si>
    <t>19:27</t>
  </si>
  <si>
    <t>19:40</t>
  </si>
  <si>
    <t>19:42</t>
  </si>
  <si>
    <t>O149</t>
  </si>
  <si>
    <t>O150</t>
  </si>
  <si>
    <t>O151</t>
  </si>
  <si>
    <t>17:31</t>
  </si>
  <si>
    <t>17:53</t>
  </si>
  <si>
    <t>O152</t>
  </si>
  <si>
    <t>12:59</t>
  </si>
  <si>
    <t>O153</t>
  </si>
  <si>
    <t>18:09</t>
  </si>
  <si>
    <t>O154</t>
  </si>
  <si>
    <t>18:39</t>
  </si>
  <si>
    <t>O155</t>
  </si>
  <si>
    <t>19:59</t>
  </si>
  <si>
    <t>20:17</t>
  </si>
  <si>
    <t>20:26</t>
  </si>
  <si>
    <t>O156</t>
  </si>
  <si>
    <t>11:41</t>
  </si>
  <si>
    <t>O157</t>
  </si>
  <si>
    <t>O158</t>
  </si>
  <si>
    <t>15:38</t>
  </si>
  <si>
    <t>O159</t>
  </si>
  <si>
    <t>O160</t>
  </si>
  <si>
    <t>O161</t>
  </si>
  <si>
    <t>11:06</t>
  </si>
  <si>
    <t>O162</t>
  </si>
  <si>
    <t>O163</t>
  </si>
  <si>
    <t>19:55</t>
  </si>
  <si>
    <t>O164</t>
  </si>
  <si>
    <t>10:43</t>
  </si>
  <si>
    <t>O165</t>
  </si>
  <si>
    <t>13:07</t>
  </si>
  <si>
    <t>O166</t>
  </si>
  <si>
    <t>O167</t>
  </si>
  <si>
    <t>11:36</t>
  </si>
  <si>
    <t>O168</t>
  </si>
  <si>
    <t>17:14</t>
  </si>
  <si>
    <t>18:05</t>
  </si>
  <si>
    <t>O169</t>
  </si>
  <si>
    <t>O170</t>
  </si>
  <si>
    <t>O171</t>
  </si>
  <si>
    <t>O172</t>
  </si>
  <si>
    <t>19:05</t>
  </si>
  <si>
    <t>19:18</t>
  </si>
  <si>
    <t>O173</t>
  </si>
  <si>
    <t>17:36</t>
  </si>
  <si>
    <t>17:38</t>
  </si>
  <si>
    <t>O174</t>
  </si>
  <si>
    <t>O175</t>
  </si>
  <si>
    <t>O176</t>
  </si>
  <si>
    <t>15:17</t>
  </si>
  <si>
    <t>16:13</t>
  </si>
  <si>
    <t>O177</t>
  </si>
  <si>
    <t>19:26</t>
  </si>
  <si>
    <t>O178</t>
  </si>
  <si>
    <t>14:12</t>
  </si>
  <si>
    <t>O179</t>
  </si>
  <si>
    <t>O180</t>
  </si>
  <si>
    <t>O181</t>
  </si>
  <si>
    <t>11:14</t>
  </si>
  <si>
    <t>O182</t>
  </si>
  <si>
    <t>11:18</t>
  </si>
  <si>
    <t>O183</t>
  </si>
  <si>
    <t>10:42</t>
  </si>
  <si>
    <t>O184</t>
  </si>
  <si>
    <t>O185</t>
  </si>
  <si>
    <t>O186</t>
  </si>
  <si>
    <t>16:52</t>
  </si>
  <si>
    <t>16:54</t>
  </si>
  <si>
    <t>O187</t>
  </si>
  <si>
    <t>O188</t>
  </si>
  <si>
    <t>12:50</t>
  </si>
  <si>
    <t>O189</t>
  </si>
  <si>
    <t>O190</t>
  </si>
  <si>
    <t>18:59</t>
  </si>
  <si>
    <t>19:46</t>
  </si>
  <si>
    <t>O191</t>
  </si>
  <si>
    <t>13:54</t>
  </si>
  <si>
    <t>O192</t>
  </si>
  <si>
    <t>O193</t>
  </si>
  <si>
    <t>O194</t>
  </si>
  <si>
    <t>17:40</t>
  </si>
  <si>
    <t>O195</t>
  </si>
  <si>
    <t>17:54</t>
  </si>
  <si>
    <t>O196</t>
  </si>
  <si>
    <t>16:16</t>
  </si>
  <si>
    <t>17:07</t>
  </si>
  <si>
    <t>O197</t>
  </si>
  <si>
    <t>17:08</t>
  </si>
  <si>
    <t>O198</t>
  </si>
  <si>
    <t>16:40</t>
  </si>
  <si>
    <t>17:24</t>
  </si>
  <si>
    <t>O199</t>
  </si>
  <si>
    <t>14:58</t>
  </si>
  <si>
    <t>O200</t>
  </si>
  <si>
    <t>O201</t>
  </si>
  <si>
    <t>O202</t>
  </si>
  <si>
    <t>O203</t>
  </si>
  <si>
    <t>O204</t>
  </si>
  <si>
    <t>O205</t>
  </si>
  <si>
    <t>11:53</t>
  </si>
  <si>
    <t>O206</t>
  </si>
  <si>
    <t>O207</t>
  </si>
  <si>
    <t>19:13</t>
  </si>
  <si>
    <t>O208</t>
  </si>
  <si>
    <t>16:39</t>
  </si>
  <si>
    <t>O209</t>
  </si>
  <si>
    <t>11:09</t>
  </si>
  <si>
    <t>11:24</t>
  </si>
  <si>
    <t>O210</t>
  </si>
  <si>
    <t>O211</t>
  </si>
  <si>
    <t>13:20</t>
  </si>
  <si>
    <t>O212</t>
  </si>
  <si>
    <t>13:24</t>
  </si>
  <si>
    <t>O213</t>
  </si>
  <si>
    <t>O214</t>
  </si>
  <si>
    <t>O215</t>
  </si>
  <si>
    <t>18:45</t>
  </si>
  <si>
    <t>18:47</t>
  </si>
  <si>
    <t>O216</t>
  </si>
  <si>
    <t>13:22</t>
  </si>
  <si>
    <t>O217</t>
  </si>
  <si>
    <t>18:00</t>
  </si>
  <si>
    <t>O218</t>
  </si>
  <si>
    <t>O219</t>
  </si>
  <si>
    <t>11:27</t>
  </si>
  <si>
    <t>O220</t>
  </si>
  <si>
    <t>16:47</t>
  </si>
  <si>
    <t>O221</t>
  </si>
  <si>
    <t>O222</t>
  </si>
  <si>
    <t>14:49</t>
  </si>
  <si>
    <t>O223</t>
  </si>
  <si>
    <t>O224</t>
  </si>
  <si>
    <t>O225</t>
  </si>
  <si>
    <t>O226</t>
  </si>
  <si>
    <t>O227</t>
  </si>
  <si>
    <t>O228</t>
  </si>
  <si>
    <t>O229</t>
  </si>
  <si>
    <t>20:07</t>
  </si>
  <si>
    <t>20:09</t>
  </si>
  <si>
    <t>O230</t>
  </si>
  <si>
    <t>19:24</t>
  </si>
  <si>
    <t>19:44</t>
  </si>
  <si>
    <t>O231</t>
  </si>
  <si>
    <t>O232</t>
  </si>
  <si>
    <t>O233</t>
  </si>
  <si>
    <t>O234</t>
  </si>
  <si>
    <t>15:45</t>
  </si>
  <si>
    <t>O235</t>
  </si>
  <si>
    <t>O236</t>
  </si>
  <si>
    <t>18:14</t>
  </si>
  <si>
    <t>18:27</t>
  </si>
  <si>
    <t>O237</t>
  </si>
  <si>
    <t>17:48</t>
  </si>
  <si>
    <t>O238</t>
  </si>
  <si>
    <t>O239</t>
  </si>
  <si>
    <t>O240</t>
  </si>
  <si>
    <t>17:21</t>
  </si>
  <si>
    <t>18:07</t>
  </si>
  <si>
    <t>O241</t>
  </si>
  <si>
    <t>O242</t>
  </si>
  <si>
    <t>O243</t>
  </si>
  <si>
    <t>O244</t>
  </si>
  <si>
    <t>17:09</t>
  </si>
  <si>
    <t>O245</t>
  </si>
  <si>
    <t>11:15</t>
  </si>
  <si>
    <t>11:33</t>
  </si>
  <si>
    <t>O246</t>
  </si>
  <si>
    <t>O247</t>
  </si>
  <si>
    <t>12:42</t>
  </si>
  <si>
    <t>O248</t>
  </si>
  <si>
    <t>O249</t>
  </si>
  <si>
    <t>O250</t>
  </si>
  <si>
    <t>19:22</t>
  </si>
  <si>
    <t>20:04</t>
  </si>
  <si>
    <t>Order_Type</t>
  </si>
  <si>
    <t>Bulk</t>
  </si>
  <si>
    <t>17:44</t>
  </si>
  <si>
    <t>18:19</t>
  </si>
  <si>
    <t>Normal</t>
  </si>
  <si>
    <t>10:44</t>
  </si>
  <si>
    <t>20:11</t>
  </si>
  <si>
    <t>16:49</t>
  </si>
  <si>
    <t>16:51</t>
  </si>
  <si>
    <t>15:22</t>
  </si>
  <si>
    <t>15:39</t>
  </si>
  <si>
    <t>20:15</t>
  </si>
  <si>
    <t>11:44</t>
  </si>
  <si>
    <t>18:50</t>
  </si>
  <si>
    <t>16:22</t>
  </si>
  <si>
    <t>16:42</t>
  </si>
  <si>
    <t>14:23</t>
  </si>
  <si>
    <t>12:30</t>
  </si>
  <si>
    <t>13:52</t>
  </si>
  <si>
    <t>18:18</t>
  </si>
  <si>
    <t>10:40</t>
  </si>
  <si>
    <t>14:22</t>
  </si>
  <si>
    <t>14:24</t>
  </si>
  <si>
    <t>19:52</t>
  </si>
  <si>
    <t>20:12</t>
  </si>
  <si>
    <t>13:11</t>
  </si>
  <si>
    <t>13:13</t>
  </si>
  <si>
    <t>14:44</t>
  </si>
  <si>
    <t>13:12</t>
  </si>
  <si>
    <t>20:05</t>
  </si>
  <si>
    <t>20:41</t>
  </si>
  <si>
    <t>17:34</t>
  </si>
  <si>
    <t>16:00</t>
  </si>
  <si>
    <t>16:02</t>
  </si>
  <si>
    <t>10:54</t>
  </si>
  <si>
    <t>20:35</t>
  </si>
  <si>
    <t>15:18</t>
  </si>
  <si>
    <t>15:43</t>
  </si>
  <si>
    <t>14:51</t>
  </si>
  <si>
    <t>17:42</t>
  </si>
  <si>
    <t>18:24</t>
  </si>
  <si>
    <t>18:26</t>
  </si>
  <si>
    <t>20:54</t>
  </si>
  <si>
    <t>15:13</t>
  </si>
  <si>
    <t>19:38</t>
  </si>
  <si>
    <t>20:31</t>
  </si>
  <si>
    <t>21:02</t>
  </si>
  <si>
    <t>13:05</t>
  </si>
  <si>
    <t>19:33</t>
  </si>
  <si>
    <t>20:57</t>
  </si>
  <si>
    <t>13:26</t>
  </si>
  <si>
    <t>16:50</t>
  </si>
  <si>
    <t>18:31</t>
  </si>
  <si>
    <t>13:17</t>
  </si>
  <si>
    <t>15:11</t>
  </si>
  <si>
    <t>18:35</t>
  </si>
  <si>
    <t>14:57</t>
  </si>
  <si>
    <t>11:00</t>
  </si>
  <si>
    <t>17:19</t>
  </si>
  <si>
    <t>17:45</t>
  </si>
  <si>
    <t>16:31</t>
  </si>
  <si>
    <t>17:51</t>
  </si>
  <si>
    <t>13:47</t>
  </si>
  <si>
    <t>17:50</t>
  </si>
  <si>
    <t>13:30</t>
  </si>
  <si>
    <t>12:19</t>
  </si>
  <si>
    <t>17:41</t>
  </si>
  <si>
    <t>15:54</t>
  </si>
  <si>
    <t>13:19</t>
  </si>
  <si>
    <t>18:03</t>
  </si>
  <si>
    <t>15:28</t>
  </si>
  <si>
    <t>20:16</t>
  </si>
  <si>
    <t>19:06</t>
  </si>
  <si>
    <t>18:48</t>
  </si>
  <si>
    <t>19:16</t>
  </si>
  <si>
    <t>16:25</t>
  </si>
  <si>
    <t>12:44</t>
  </si>
  <si>
    <t>13:03</t>
  </si>
  <si>
    <t>13:38</t>
  </si>
  <si>
    <t>19:08</t>
  </si>
  <si>
    <t>19:57</t>
  </si>
  <si>
    <t>20:52</t>
  </si>
  <si>
    <t>16:24</t>
  </si>
  <si>
    <t>17:02</t>
  </si>
  <si>
    <t>17:04</t>
  </si>
  <si>
    <t>10:03</t>
  </si>
  <si>
    <t>15:15</t>
  </si>
  <si>
    <t>18:12</t>
  </si>
  <si>
    <t>17:43</t>
  </si>
  <si>
    <t>12:17</t>
  </si>
  <si>
    <t>12:28</t>
  </si>
  <si>
    <t>19:41</t>
  </si>
  <si>
    <t>19:43</t>
  </si>
  <si>
    <t>18:10</t>
  </si>
  <si>
    <t>19:04</t>
  </si>
  <si>
    <t>12:35</t>
  </si>
  <si>
    <t>15:49</t>
  </si>
  <si>
    <t>10:36</t>
  </si>
  <si>
    <t>10:48</t>
  </si>
  <si>
    <t>18:01</t>
  </si>
  <si>
    <t>15:05</t>
  </si>
  <si>
    <t>15:57</t>
  </si>
  <si>
    <t>13:32</t>
  </si>
  <si>
    <t>16:09</t>
  </si>
  <si>
    <t>16:44</t>
  </si>
  <si>
    <t>16:46</t>
  </si>
  <si>
    <t>13:58</t>
  </si>
  <si>
    <t>16:41</t>
  </si>
  <si>
    <t>11:38</t>
  </si>
  <si>
    <t>13:31</t>
  </si>
  <si>
    <t>17:25</t>
  </si>
  <si>
    <t>16:04</t>
  </si>
  <si>
    <t>11:59</t>
  </si>
  <si>
    <t>10:57</t>
  </si>
  <si>
    <t>20:34</t>
  </si>
  <si>
    <t>11:43</t>
  </si>
  <si>
    <t>12:01</t>
  </si>
  <si>
    <t>15:23</t>
  </si>
  <si>
    <t>14:01</t>
  </si>
  <si>
    <t>17:06</t>
  </si>
  <si>
    <t>14:59</t>
  </si>
  <si>
    <t>15:21</t>
  </si>
  <si>
    <t>18:17</t>
  </si>
  <si>
    <t>17:22</t>
  </si>
  <si>
    <t>11:49</t>
  </si>
  <si>
    <t>18:49</t>
  </si>
  <si>
    <t>15:33</t>
  </si>
  <si>
    <t>13:45</t>
  </si>
  <si>
    <t>10:24</t>
  </si>
  <si>
    <t>16:14</t>
  </si>
  <si>
    <t>16:57</t>
  </si>
  <si>
    <t>21:00</t>
  </si>
  <si>
    <t>15:16</t>
  </si>
  <si>
    <t>11:37</t>
  </si>
  <si>
    <t>17:11</t>
  </si>
  <si>
    <t>20:50</t>
  </si>
  <si>
    <t>18:36</t>
  </si>
  <si>
    <t>18:56</t>
  </si>
  <si>
    <t>20:48</t>
  </si>
  <si>
    <t>12:38</t>
  </si>
  <si>
    <t>14:29</t>
  </si>
  <si>
    <t>14:31</t>
  </si>
  <si>
    <t>19:00</t>
  </si>
  <si>
    <t>19:02</t>
  </si>
  <si>
    <t>19:20</t>
  </si>
  <si>
    <t>18:51</t>
  </si>
  <si>
    <t>12:18</t>
  </si>
  <si>
    <t>18:33</t>
  </si>
  <si>
    <t>19:10</t>
  </si>
  <si>
    <t>17:59</t>
  </si>
  <si>
    <t>20:58</t>
  </si>
  <si>
    <t>16:33</t>
  </si>
  <si>
    <t>12:45</t>
  </si>
  <si>
    <t>12:47</t>
  </si>
  <si>
    <t>17:32</t>
  </si>
  <si>
    <t>20:33</t>
  </si>
  <si>
    <t>18:58</t>
  </si>
  <si>
    <t>10:04</t>
  </si>
  <si>
    <t>10:21</t>
  </si>
  <si>
    <t>13:39</t>
  </si>
  <si>
    <t>17:58</t>
  </si>
  <si>
    <t>20:21</t>
  </si>
  <si>
    <t>16:11</t>
  </si>
  <si>
    <t>20:20</t>
  </si>
  <si>
    <t>20:53</t>
  </si>
  <si>
    <t>10:31</t>
  </si>
  <si>
    <t>11:08</t>
  </si>
  <si>
    <t>10:08</t>
  </si>
  <si>
    <t>10:23</t>
  </si>
  <si>
    <t>20:30</t>
  </si>
  <si>
    <t>16:48</t>
  </si>
  <si>
    <t>10:18</t>
  </si>
  <si>
    <t>10:00</t>
  </si>
  <si>
    <t>10:11</t>
  </si>
  <si>
    <t>10:13</t>
  </si>
  <si>
    <t>16:21</t>
  </si>
  <si>
    <t>16:23</t>
  </si>
  <si>
    <t>12:20</t>
  </si>
  <si>
    <t>12:43</t>
  </si>
  <si>
    <t>19:17</t>
  </si>
  <si>
    <t>19:45</t>
  </si>
  <si>
    <t>10:35</t>
  </si>
  <si>
    <t>16:26</t>
  </si>
  <si>
    <t>10:30</t>
  </si>
  <si>
    <t>10:47</t>
  </si>
  <si>
    <t>14:19</t>
  </si>
  <si>
    <t>21:10</t>
  </si>
  <si>
    <t>10:50</t>
  </si>
  <si>
    <t>11:07</t>
  </si>
  <si>
    <t>18:54</t>
  </si>
  <si>
    <t>15:09</t>
  </si>
  <si>
    <t>15:47</t>
  </si>
  <si>
    <t>19:48</t>
  </si>
  <si>
    <t>21:08</t>
  </si>
  <si>
    <t>16:03</t>
  </si>
  <si>
    <t>15:30</t>
  </si>
  <si>
    <t>10:01</t>
  </si>
  <si>
    <t>11:29</t>
  </si>
  <si>
    <t>21:06</t>
  </si>
  <si>
    <t>20:32</t>
  </si>
  <si>
    <t>14:03</t>
  </si>
  <si>
    <t>21:03</t>
  </si>
  <si>
    <t>10:33</t>
  </si>
  <si>
    <t>13:36</t>
  </si>
  <si>
    <t>17:56</t>
  </si>
  <si>
    <t>20:43</t>
  </si>
  <si>
    <t>Total_Delivery_Time</t>
  </si>
  <si>
    <t>Prep_Wait_Time</t>
  </si>
  <si>
    <t>Pickup_Lag</t>
  </si>
  <si>
    <t>Transit_Time</t>
  </si>
  <si>
    <t>Hour_of_Day</t>
  </si>
  <si>
    <t>Time_Slot</t>
  </si>
  <si>
    <t>Is_Peak_Hour</t>
  </si>
  <si>
    <t>Delivery_Speed_kmpm</t>
  </si>
  <si>
    <t>Cost_Per_km</t>
  </si>
  <si>
    <t>Is_Late (Define Late as &gt;45min)</t>
  </si>
  <si>
    <t>Delay_Category</t>
  </si>
  <si>
    <t>Delivery_Cost_Ratio</t>
  </si>
  <si>
    <t>OVERALL OPERATIONS</t>
  </si>
  <si>
    <t>Total Orders</t>
  </si>
  <si>
    <t>Total Delivered</t>
  </si>
  <si>
    <t>Total Failed</t>
  </si>
  <si>
    <t>Overall Failure Rate %</t>
  </si>
  <si>
    <t>On-Time Delivery Rate %</t>
  </si>
  <si>
    <t>Late Delivery Rate %</t>
  </si>
  <si>
    <t>TIME BREAKDOWN (avg minutes)</t>
  </si>
  <si>
    <t>Avg Total Delivery Time</t>
  </si>
  <si>
    <t>Avg Prep Time</t>
  </si>
  <si>
    <t>Avg Prep Wait Gap</t>
  </si>
  <si>
    <t>Avg Pickup Lag</t>
  </si>
  <si>
    <t>Avg Transit Time</t>
  </si>
  <si>
    <t>PEAK vs OFF-PEAK</t>
  </si>
  <si>
    <t xml:space="preserve">Peak Avg Delivery Time </t>
  </si>
  <si>
    <t>Off-Peak Avg Delivery Time</t>
  </si>
  <si>
    <t>Peak vs Off-Peak Difference (min)</t>
  </si>
  <si>
    <t>Peak vs Off-Peak Difference %</t>
  </si>
  <si>
    <t>NORMAL vs BULK</t>
  </si>
  <si>
    <t>Normal Order Avg Delivery Time</t>
  </si>
  <si>
    <t>Bulk Order Avg Delivery Time</t>
  </si>
  <si>
    <t>Bulk Order Failure Rate %</t>
  </si>
  <si>
    <t xml:space="preserve">Normal Order Failure Rate % </t>
  </si>
  <si>
    <t>TRAFFIC IMPACT</t>
  </si>
  <si>
    <t>High Traffic Avg Transit Time</t>
  </si>
  <si>
    <t>Medium Traffic Avg Transit Time</t>
  </si>
  <si>
    <t xml:space="preserve">Low Traffic Avg Transit Time </t>
  </si>
  <si>
    <t>High vs Low Traffic Difference (min)</t>
  </si>
  <si>
    <t>FAILURE ANALYSIS</t>
  </si>
  <si>
    <t xml:space="preserve">Restaurant Delay Failures </t>
  </si>
  <si>
    <t>% of Failures from Restaurant Delay</t>
  </si>
  <si>
    <t xml:space="preserve">Distance Failures </t>
  </si>
  <si>
    <t xml:space="preserve">Traffic Failures </t>
  </si>
  <si>
    <t>RIDER METRICS</t>
  </si>
  <si>
    <t>Avg Rider Availability (overall)</t>
  </si>
  <si>
    <t xml:space="preserve">Peak Hour Avg Rider Availability </t>
  </si>
  <si>
    <t xml:space="preserve">Off-Peak Avg Rider Availability </t>
  </si>
  <si>
    <t>count</t>
  </si>
  <si>
    <t>min</t>
  </si>
  <si>
    <t>riders</t>
  </si>
  <si>
    <t>TIME PHASE BREAKDOWN</t>
  </si>
  <si>
    <t>Phase</t>
  </si>
  <si>
    <t>TOTAL AVG DELIVERY TIME</t>
  </si>
  <si>
    <t>Value (minutes)</t>
  </si>
  <si>
    <t>Off-Peak</t>
  </si>
  <si>
    <t>Peak</t>
  </si>
  <si>
    <t>Grand Total</t>
  </si>
  <si>
    <t>Avg Delivery Time (min)</t>
  </si>
  <si>
    <t>Order Count</t>
  </si>
  <si>
    <t>Failures</t>
  </si>
  <si>
    <t>Failure Rate %</t>
  </si>
  <si>
    <t>Avg Total Time</t>
  </si>
  <si>
    <t>Avg Distance km</t>
  </si>
  <si>
    <t>FAILURE BY TIME SLOT</t>
  </si>
  <si>
    <t>Time Slot</t>
  </si>
  <si>
    <t>Late Morning</t>
  </si>
  <si>
    <t>Afternoon</t>
  </si>
  <si>
    <t>Evening</t>
  </si>
  <si>
    <t>Peak Night</t>
  </si>
  <si>
    <t>Avg Transit</t>
  </si>
  <si>
    <t>Avg Speed</t>
  </si>
  <si>
    <t>Orders Handled</t>
  </si>
  <si>
    <t>Avg Delivery Time</t>
  </si>
  <si>
    <t>Avg Rider Availability</t>
  </si>
  <si>
    <t>Distance_Bucket</t>
  </si>
  <si>
    <t>Long (5+km)</t>
  </si>
  <si>
    <t>Medium (2-5km)</t>
  </si>
  <si>
    <t>Short (0-2km)</t>
  </si>
  <si>
    <t>Distance</t>
  </si>
  <si>
    <t>Time Period</t>
  </si>
  <si>
    <t>Minutes</t>
  </si>
  <si>
    <t>Order Type</t>
  </si>
  <si>
    <t>Traffic Level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</si>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</sst>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0" tint="-0.3499862666707357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arial"/>
    </font>
    <font>
      <sz val="11"/>
      <color theme="1"/>
      <name val="Aarial"/>
    </font>
    <font>
      <b/>
      <sz val="11"/>
      <color theme="1" tint="0.499984740745262"/>
      <name val="Arial"/>
      <family val="2"/>
    </font>
    <font>
      <sz val="11"/>
      <color theme="1" tint="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59999389629810485"/>
      </top>
      <bottom/>
      <diagonal/>
    </border>
    <border>
      <left/>
      <right/>
      <top/>
      <bottom style="thin">
        <color theme="4" tint="0.59999389629810485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20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Fill="1" applyBorder="1"/>
    <xf numFmtId="0" fontId="2" fillId="0" borderId="0" xfId="0" applyFont="1" applyFill="1"/>
    <xf numFmtId="0" fontId="2" fillId="4" borderId="1" xfId="0" applyFont="1" applyFill="1" applyBorder="1"/>
    <xf numFmtId="0" fontId="3" fillId="3" borderId="0" xfId="0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/>
    </xf>
    <xf numFmtId="164" fontId="2" fillId="0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0" fontId="4" fillId="0" borderId="0" xfId="0" applyFont="1"/>
    <xf numFmtId="9" fontId="1" fillId="2" borderId="1" xfId="0" applyNumberFormat="1" applyFont="1" applyFill="1" applyBorder="1" applyAlignment="1">
      <alignment horizontal="left"/>
    </xf>
    <xf numFmtId="0" fontId="2" fillId="0" borderId="0" xfId="0" pivotButton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2" fillId="5" borderId="0" xfId="0" applyNumberFormat="1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/>
    </xf>
    <xf numFmtId="164" fontId="2" fillId="0" borderId="11" xfId="0" applyNumberFormat="1" applyFont="1" applyBorder="1" applyAlignment="1">
      <alignment horizontal="left" vertical="center"/>
    </xf>
    <xf numFmtId="0" fontId="2" fillId="0" borderId="11" xfId="0" applyNumberFormat="1" applyFont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164" fontId="2" fillId="2" borderId="11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164" fontId="2" fillId="0" borderId="10" xfId="0" applyNumberFormat="1" applyFont="1" applyBorder="1" applyAlignment="1">
      <alignment horizontal="left" vertical="center"/>
    </xf>
    <xf numFmtId="0" fontId="2" fillId="0" borderId="1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164" fontId="2" fillId="2" borderId="10" xfId="0" applyNumberFormat="1" applyFont="1" applyFill="1" applyBorder="1" applyAlignment="1">
      <alignment horizontal="left" vertical="center"/>
    </xf>
    <xf numFmtId="0" fontId="0" fillId="5" borderId="0" xfId="0" applyFill="1"/>
    <xf numFmtId="0" fontId="2" fillId="2" borderId="11" xfId="0" applyFont="1" applyFill="1" applyBorder="1" applyAlignment="1">
      <alignment horizontal="left"/>
    </xf>
    <xf numFmtId="164" fontId="2" fillId="2" borderId="11" xfId="0" applyNumberFormat="1" applyFont="1" applyFill="1" applyBorder="1" applyAlignment="1">
      <alignment horizontal="left"/>
    </xf>
    <xf numFmtId="164" fontId="2" fillId="2" borderId="0" xfId="0" applyNumberFormat="1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164" fontId="2" fillId="2" borderId="10" xfId="0" applyNumberFormat="1" applyFont="1" applyFill="1" applyBorder="1" applyAlignment="1">
      <alignment horizontal="left"/>
    </xf>
    <xf numFmtId="0" fontId="2" fillId="0" borderId="0" xfId="0" applyNumberFormat="1" applyFont="1"/>
    <xf numFmtId="0" fontId="2" fillId="2" borderId="0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6" fillId="5" borderId="0" xfId="0" applyFont="1" applyFill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5" borderId="0" xfId="0" applyFont="1" applyFill="1"/>
    <xf numFmtId="164" fontId="1" fillId="5" borderId="0" xfId="0" applyNumberFormat="1" applyFont="1" applyFill="1" applyAlignment="1">
      <alignment horizontal="left"/>
    </xf>
    <xf numFmtId="164" fontId="2" fillId="2" borderId="12" xfId="0" applyNumberFormat="1" applyFont="1" applyFill="1" applyBorder="1" applyAlignment="1">
      <alignment horizontal="left"/>
    </xf>
    <xf numFmtId="164" fontId="2" fillId="2" borderId="13" xfId="0" applyNumberFormat="1" applyFont="1" applyFill="1" applyBorder="1" applyAlignment="1">
      <alignment horizontal="left"/>
    </xf>
    <xf numFmtId="0" fontId="6" fillId="5" borderId="0" xfId="0" applyFont="1" applyFill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67">
    <dxf>
      <numFmt numFmtId="164" formatCode="0.0"/>
    </dxf>
    <dxf>
      <numFmt numFmtId="164" formatCode="0.0"/>
    </dxf>
    <dxf>
      <numFmt numFmtId="164" formatCode="0.0"/>
    </dxf>
    <dxf>
      <alignment vertical="top" readingOrder="0"/>
    </dxf>
    <dxf>
      <alignment horizontal="left" readingOrder="0"/>
    </dxf>
    <dxf>
      <alignment vertic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4" formatCode="0.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left" readingOrder="0"/>
    </dxf>
    <dxf>
      <alignment vertic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4" formatCode="0.0"/>
    </dxf>
    <dxf>
      <numFmt numFmtId="164" formatCode="0.0"/>
    </dxf>
    <dxf>
      <alignment horizontal="left" readingOrder="0"/>
    </dxf>
    <dxf>
      <alignment vertical="center" readingOrder="0"/>
    </dxf>
    <dxf>
      <alignment horizontal="left" readingOrder="0"/>
    </dxf>
    <dxf>
      <alignment vertic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4" formatCode="0.0"/>
    </dxf>
    <dxf>
      <alignment vertical="center" readingOrder="0"/>
    </dxf>
    <dxf>
      <alignment horizontal="left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4" formatCode="0.0"/>
    </dxf>
    <dxf>
      <border>
        <bottom style="thin">
          <color theme="4" tint="0.39997558519241921"/>
        </bottom>
      </border>
    </dxf>
    <dxf>
      <border>
        <bottom style="thin">
          <color theme="4" tint="0.39997558519241921"/>
        </bottom>
      </border>
    </dxf>
    <dxf>
      <border>
        <top style="thin">
          <color theme="4" tint="0.39997558519241921"/>
        </top>
      </border>
    </dxf>
    <dxf>
      <border>
        <top style="thin">
          <color theme="4" tint="0.39997558519241921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4" tint="0.79998168889431442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 readingOrder="0"/>
    </dxf>
    <dxf>
      <alignment horizontal="left" readingOrder="0"/>
    </dxf>
    <dxf>
      <numFmt numFmtId="164" formatCode="0.0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ysClr val="windowText" lastClr="000000"/>
                </a:solidFill>
              </a:rPr>
              <a:t>Where Does Delivery Time Go? (avg minutes)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Charts!$I$1</c:f>
              <c:strCache>
                <c:ptCount val="1"/>
                <c:pt idx="0">
                  <c:v>Minutes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Charts!$H$2:$H$5</c:f>
              <c:strCache>
                <c:ptCount val="4"/>
                <c:pt idx="0">
                  <c:v>Avg Prep Time</c:v>
                </c:pt>
                <c:pt idx="1">
                  <c:v>Avg Prep Wait Gap</c:v>
                </c:pt>
                <c:pt idx="2">
                  <c:v>Avg Pickup Lag</c:v>
                </c:pt>
                <c:pt idx="3">
                  <c:v>Avg Transit Time</c:v>
                </c:pt>
              </c:strCache>
            </c:strRef>
          </c:cat>
          <c:val>
            <c:numRef>
              <c:f>Charts!$I$2:$I$5</c:f>
              <c:numCache>
                <c:formatCode>0.0</c:formatCode>
                <c:ptCount val="4"/>
                <c:pt idx="0">
                  <c:v>17.920000000000002</c:v>
                </c:pt>
                <c:pt idx="1">
                  <c:v>2.6799999999999931</c:v>
                </c:pt>
                <c:pt idx="2">
                  <c:v>4.1239999999999952</c:v>
                </c:pt>
                <c:pt idx="3">
                  <c:v>32.252000000000002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6-49C8-A611-48BA21CDD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302623"/>
        <c:axId val="763301791"/>
      </c:barChart>
      <c:catAx>
        <c:axId val="76330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01791"/>
        <c:crosses val="autoZero"/>
        <c:auto val="1"/>
        <c:lblAlgn val="ctr"/>
        <c:lblOffset val="100"/>
        <c:noMultiLvlLbl val="0"/>
      </c:catAx>
      <c:valAx>
        <c:axId val="763301791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0262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Peak vs Off-Peak: Average Delivery Time (min)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Charts!$I$9</c:f>
              <c:strCache>
                <c:ptCount val="1"/>
                <c:pt idx="0">
                  <c:v>Avg Delivery Time (min)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532-4BE9-9D76-588B9D3227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Charts!$H$10:$H$11</c:f>
              <c:strCache>
                <c:ptCount val="2"/>
                <c:pt idx="0">
                  <c:v>Off-Peak</c:v>
                </c:pt>
                <c:pt idx="1">
                  <c:v>Peak</c:v>
                </c:pt>
              </c:strCache>
            </c:strRef>
          </c:cat>
          <c:val>
            <c:numRef>
              <c:f>Charts!$I$10:$I$11</c:f>
              <c:numCache>
                <c:formatCode>0.0</c:formatCode>
                <c:ptCount val="2"/>
                <c:pt idx="0">
                  <c:v>54.059322033898297</c:v>
                </c:pt>
                <c:pt idx="1">
                  <c:v>59.583333333333329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2-4BE9-9D76-588B9D322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0069055"/>
        <c:axId val="560071967"/>
      </c:barChart>
      <c:catAx>
        <c:axId val="560069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71967"/>
        <c:crosses val="autoZero"/>
        <c:auto val="1"/>
        <c:lblAlgn val="ctr"/>
        <c:lblOffset val="100"/>
        <c:noMultiLvlLbl val="0"/>
      </c:catAx>
      <c:valAx>
        <c:axId val="560071967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6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ysClr val="windowText" lastClr="000000"/>
                </a:solidFill>
              </a:rPr>
              <a:t>Normal vs Bulk Order: Prep Time vs Total Delivery Time (min)</a:t>
            </a:r>
            <a:endParaRPr lang="en-IN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Charts!$H$15</c:f>
              <c:strCache>
                <c:ptCount val="1"/>
                <c:pt idx="0">
                  <c:v>Bulk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Charts!$I$14:$J$14</c:f>
              <c:strCache>
                <c:ptCount val="2"/>
                <c:pt idx="0">
                  <c:v>Avg Prep Time</c:v>
                </c:pt>
                <c:pt idx="1">
                  <c:v>Avg Total Time</c:v>
                </c:pt>
              </c:strCache>
            </c:strRef>
          </c:cat>
          <c:val>
            <c:numRef>
              <c:f>Charts!$I$15:$J$15</c:f>
              <c:numCache>
                <c:formatCode>0.0</c:formatCode>
                <c:ptCount val="2"/>
                <c:pt idx="0">
                  <c:v>32</c:v>
                </c:pt>
                <c:pt idx="1">
                  <c:v>75.435897435897431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E-4ECE-AC29-7CCFEAA24328}"/>
            </c:ext>
          </c:extLst>
        </c:ser>
        <c:ser>
          <c:idx val="1"/>
          <c:order val="1"/>
          <c:tx>
            <c:strRef>
              <c:f>Charts!$H$16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Charts!$I$14:$J$14</c:f>
              <c:strCache>
                <c:ptCount val="2"/>
                <c:pt idx="0">
                  <c:v>Avg Prep Time</c:v>
                </c:pt>
                <c:pt idx="1">
                  <c:v>Avg Total Time</c:v>
                </c:pt>
              </c:strCache>
            </c:strRef>
          </c:cat>
          <c:val>
            <c:numRef>
              <c:f>Charts!$I$16:$J$16</c:f>
              <c:numCache>
                <c:formatCode>0.0</c:formatCode>
                <c:ptCount val="2"/>
                <c:pt idx="0">
                  <c:v>15.317535545023697</c:v>
                </c:pt>
                <c:pt idx="1">
                  <c:v>53.563981042654028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BE-4ECE-AC29-7CCFEAA24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279327"/>
        <c:axId val="763285567"/>
      </c:barChart>
      <c:catAx>
        <c:axId val="76327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85567"/>
        <c:crosses val="autoZero"/>
        <c:auto val="1"/>
        <c:lblAlgn val="ctr"/>
        <c:lblOffset val="100"/>
        <c:noMultiLvlLbl val="0"/>
      </c:catAx>
      <c:valAx>
        <c:axId val="763285567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7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ysClr val="windowText" lastClr="000000"/>
                </a:solidFill>
              </a:rPr>
              <a:t>Traffic Level: Transit Time vs Distance Traveled</a:t>
            </a:r>
            <a:endParaRPr lang="en-IN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Charts!$I$19</c:f>
              <c:strCache>
                <c:ptCount val="1"/>
                <c:pt idx="0">
                  <c:v>Avg Transit Time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Charts!$H$20:$H$22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Charts!$I$20:$I$22</c:f>
              <c:numCache>
                <c:formatCode>0.0</c:formatCode>
                <c:ptCount val="3"/>
                <c:pt idx="0">
                  <c:v>31.527777777777814</c:v>
                </c:pt>
                <c:pt idx="1">
                  <c:v>26.954545454545453</c:v>
                </c:pt>
                <c:pt idx="2">
                  <c:v>34.79054054054054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B-4C3A-801C-1F804DA658EF}"/>
            </c:ext>
          </c:extLst>
        </c:ser>
        <c:ser>
          <c:idx val="1"/>
          <c:order val="1"/>
          <c:tx>
            <c:strRef>
              <c:f>Charts!$J$19</c:f>
              <c:strCache>
                <c:ptCount val="1"/>
                <c:pt idx="0">
                  <c:v>Avg Distance km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Charts!$H$20:$H$22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Charts!$J$20:$J$22</c:f>
              <c:numCache>
                <c:formatCode>0.0</c:formatCode>
                <c:ptCount val="3"/>
                <c:pt idx="0">
                  <c:v>3.8711111111111123</c:v>
                </c:pt>
                <c:pt idx="1">
                  <c:v>4.3224242424242423</c:v>
                </c:pt>
                <c:pt idx="2">
                  <c:v>4.7938513513513499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B-4C3A-801C-1F804DA6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292223"/>
        <c:axId val="763293887"/>
      </c:barChart>
      <c:catAx>
        <c:axId val="76329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93887"/>
        <c:crosses val="autoZero"/>
        <c:auto val="1"/>
        <c:lblAlgn val="ctr"/>
        <c:lblOffset val="100"/>
        <c:noMultiLvlLbl val="0"/>
      </c:catAx>
      <c:valAx>
        <c:axId val="763293887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9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ysClr val="windowText" lastClr="000000"/>
                </a:solidFill>
              </a:rPr>
              <a:t>Delivery Failure Rate by Time Slot (%)</a:t>
            </a:r>
            <a:endParaRPr lang="en-IN" b="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Charts!$I$25</c:f>
              <c:strCache>
                <c:ptCount val="1"/>
                <c:pt idx="0">
                  <c:v>Failure Rate %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82-49F7-93EE-5417A9A393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Charts!$H$26:$H$29</c:f>
              <c:strCache>
                <c:ptCount val="4"/>
                <c:pt idx="0">
                  <c:v>Late Morning</c:v>
                </c:pt>
                <c:pt idx="1">
                  <c:v>Afternoon</c:v>
                </c:pt>
                <c:pt idx="2">
                  <c:v>Evening</c:v>
                </c:pt>
                <c:pt idx="3">
                  <c:v>Peak Night</c:v>
                </c:pt>
              </c:strCache>
            </c:strRef>
          </c:cat>
          <c:val>
            <c:numRef>
              <c:f>Charts!$I$26:$I$29</c:f>
              <c:numCache>
                <c:formatCode>0.0</c:formatCode>
                <c:ptCount val="4"/>
                <c:pt idx="0">
                  <c:v>7.6923076923076925</c:v>
                </c:pt>
                <c:pt idx="1">
                  <c:v>6.4516129032258061</c:v>
                </c:pt>
                <c:pt idx="2">
                  <c:v>9.0909090909090917</c:v>
                </c:pt>
                <c:pt idx="3">
                  <c:v>3.3898305084745761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2-49F7-93EE-5417A9A39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272671"/>
        <c:axId val="763284735"/>
      </c:barChart>
      <c:catAx>
        <c:axId val="76327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84735"/>
        <c:crosses val="autoZero"/>
        <c:auto val="1"/>
        <c:lblAlgn val="ctr"/>
        <c:lblOffset val="100"/>
        <c:noMultiLvlLbl val="0"/>
      </c:catAx>
      <c:valAx>
        <c:axId val="763284735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7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 b="0" i="0" u="none" strike="noStrike" baseline="0">
                <a:solidFill>
                  <a:sysClr val="windowText" lastClr="000000"/>
                </a:solidFill>
              </a:rPr>
              <a:t>Rider Performance Ranking: Avg Transit Time (min)</a:t>
            </a:r>
            <a:endParaRPr lang="en-IN" sz="13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5283583196168274"/>
          <c:y val="2.7777855753770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Charts!$I$32</c:f>
              <c:strCache>
                <c:ptCount val="1"/>
                <c:pt idx="0">
                  <c:v>Avg Transit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E6B-4D18-A334-D5F73BE41CC4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E6B-4D18-A334-D5F73BE41C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Charts!$H$33:$H$52</c:f>
              <c:strCache>
                <c:ptCount val="20"/>
                <c:pt idx="0">
                  <c:v>R14</c:v>
                </c:pt>
                <c:pt idx="1">
                  <c:v>R2</c:v>
                </c:pt>
                <c:pt idx="2">
                  <c:v>R5</c:v>
                </c:pt>
                <c:pt idx="3">
                  <c:v>R6</c:v>
                </c:pt>
                <c:pt idx="4">
                  <c:v>R17</c:v>
                </c:pt>
                <c:pt idx="5">
                  <c:v>R12</c:v>
                </c:pt>
                <c:pt idx="6">
                  <c:v>R7</c:v>
                </c:pt>
                <c:pt idx="7">
                  <c:v>R1</c:v>
                </c:pt>
                <c:pt idx="8">
                  <c:v>R10</c:v>
                </c:pt>
                <c:pt idx="9">
                  <c:v>R4</c:v>
                </c:pt>
                <c:pt idx="10">
                  <c:v>R19</c:v>
                </c:pt>
                <c:pt idx="11">
                  <c:v>R15</c:v>
                </c:pt>
                <c:pt idx="12">
                  <c:v>R3</c:v>
                </c:pt>
                <c:pt idx="13">
                  <c:v>R9</c:v>
                </c:pt>
                <c:pt idx="14">
                  <c:v>R20</c:v>
                </c:pt>
                <c:pt idx="15">
                  <c:v>R18</c:v>
                </c:pt>
                <c:pt idx="16">
                  <c:v>R8</c:v>
                </c:pt>
                <c:pt idx="17">
                  <c:v>R13</c:v>
                </c:pt>
                <c:pt idx="18">
                  <c:v>R16</c:v>
                </c:pt>
                <c:pt idx="19">
                  <c:v>R11</c:v>
                </c:pt>
              </c:strCache>
            </c:strRef>
          </c:cat>
          <c:val>
            <c:numRef>
              <c:f>Charts!$I$33:$I$52</c:f>
              <c:numCache>
                <c:formatCode>0.0</c:formatCode>
                <c:ptCount val="20"/>
                <c:pt idx="0">
                  <c:v>22.600000000000016</c:v>
                </c:pt>
                <c:pt idx="1">
                  <c:v>28.928571428571448</c:v>
                </c:pt>
                <c:pt idx="2">
                  <c:v>29.000000000000032</c:v>
                </c:pt>
                <c:pt idx="3">
                  <c:v>29.090909090909111</c:v>
                </c:pt>
                <c:pt idx="4">
                  <c:v>29.666666666666671</c:v>
                </c:pt>
                <c:pt idx="5">
                  <c:v>30.124999999999972</c:v>
                </c:pt>
                <c:pt idx="6">
                  <c:v>30.545454545454607</c:v>
                </c:pt>
                <c:pt idx="7">
                  <c:v>32.083333333333343</c:v>
                </c:pt>
                <c:pt idx="8">
                  <c:v>32.333333333333314</c:v>
                </c:pt>
                <c:pt idx="9">
                  <c:v>32.399999999999963</c:v>
                </c:pt>
                <c:pt idx="10">
                  <c:v>32.736842105263179</c:v>
                </c:pt>
                <c:pt idx="11">
                  <c:v>33.214285714285708</c:v>
                </c:pt>
                <c:pt idx="12">
                  <c:v>33.230769230769212</c:v>
                </c:pt>
                <c:pt idx="13">
                  <c:v>33.588235294117638</c:v>
                </c:pt>
                <c:pt idx="14">
                  <c:v>33.615384615384656</c:v>
                </c:pt>
                <c:pt idx="15">
                  <c:v>33.619047619047663</c:v>
                </c:pt>
                <c:pt idx="16">
                  <c:v>33.625000000000078</c:v>
                </c:pt>
                <c:pt idx="17">
                  <c:v>34.79999999999999</c:v>
                </c:pt>
                <c:pt idx="18">
                  <c:v>38.000000000000007</c:v>
                </c:pt>
                <c:pt idx="19">
                  <c:v>38.181818181818201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B-4D18-A334-D5F73BE41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274751"/>
        <c:axId val="763280575"/>
      </c:barChart>
      <c:catAx>
        <c:axId val="76327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80575"/>
        <c:crosses val="autoZero"/>
        <c:auto val="1"/>
        <c:lblAlgn val="ctr"/>
        <c:lblOffset val="100"/>
        <c:noMultiLvlLbl val="0"/>
      </c:catAx>
      <c:valAx>
        <c:axId val="763280575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7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Hourly Order Volume vs Rider Availability (Hour 19 = Crisis Point)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Charts!$I$55</c:f>
              <c:strCache>
                <c:ptCount val="1"/>
                <c:pt idx="0">
                  <c:v>Order Count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Charts!$H$56:$H$66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Charts!$I$56:$I$66</c:f>
              <c:numCache>
                <c:formatCode>0.0</c:formatCode>
                <c:ptCount val="11"/>
                <c:pt idx="0">
                  <c:v>30</c:v>
                </c:pt>
                <c:pt idx="1">
                  <c:v>22</c:v>
                </c:pt>
                <c:pt idx="2">
                  <c:v>21</c:v>
                </c:pt>
                <c:pt idx="3">
                  <c:v>19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33</c:v>
                </c:pt>
                <c:pt idx="8">
                  <c:v>23</c:v>
                </c:pt>
                <c:pt idx="9">
                  <c:v>35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8-4157-80EF-BF5533EA5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270591"/>
        <c:axId val="763287647"/>
      </c:lineChart>
      <c:lineChart>
        <c:grouping val="standard"/>
        <c:varyColors val="0"/>
        <c:ser>
          <c:idx val="2"/>
          <c:order val="1"/>
          <c:tx>
            <c:strRef>
              <c:f>Charts!$J$55</c:f>
              <c:strCache>
                <c:ptCount val="1"/>
                <c:pt idx="0">
                  <c:v>Avg Rider Availability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Charts!$H$56:$H$66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Charts!$J$56:$J$66</c:f>
              <c:numCache>
                <c:formatCode>0.0</c:formatCode>
                <c:ptCount val="11"/>
                <c:pt idx="0">
                  <c:v>15.2</c:v>
                </c:pt>
                <c:pt idx="1">
                  <c:v>14.909090909090908</c:v>
                </c:pt>
                <c:pt idx="2">
                  <c:v>15</c:v>
                </c:pt>
                <c:pt idx="3">
                  <c:v>15.210526315789474</c:v>
                </c:pt>
                <c:pt idx="4">
                  <c:v>17.136363636363637</c:v>
                </c:pt>
                <c:pt idx="5">
                  <c:v>17.526315789473685</c:v>
                </c:pt>
                <c:pt idx="6">
                  <c:v>17.68</c:v>
                </c:pt>
                <c:pt idx="7">
                  <c:v>15.030303030303031</c:v>
                </c:pt>
                <c:pt idx="8">
                  <c:v>15.260869565217391</c:v>
                </c:pt>
                <c:pt idx="9">
                  <c:v>9.8857142857142861</c:v>
                </c:pt>
                <c:pt idx="1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08-4157-80EF-BF5533EA5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296799"/>
        <c:axId val="763295551"/>
      </c:lineChart>
      <c:catAx>
        <c:axId val="76327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87647"/>
        <c:crosses val="autoZero"/>
        <c:auto val="1"/>
        <c:lblAlgn val="ctr"/>
        <c:lblOffset val="100"/>
        <c:noMultiLvlLbl val="0"/>
      </c:catAx>
      <c:valAx>
        <c:axId val="76328764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70591"/>
        <c:crosses val="autoZero"/>
        <c:crossBetween val="between"/>
      </c:valAx>
      <c:valAx>
        <c:axId val="763295551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96799"/>
        <c:crosses val="max"/>
        <c:crossBetween val="between"/>
      </c:valAx>
      <c:catAx>
        <c:axId val="763296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2955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ysClr val="windowText" lastClr="000000"/>
                </a:solidFill>
              </a:rPr>
              <a:t>Average Delivery Time by Distance Category (min)</a:t>
            </a:r>
            <a:endParaRPr lang="en-IN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Charts!$I$69</c:f>
              <c:strCache>
                <c:ptCount val="1"/>
                <c:pt idx="0">
                  <c:v>Avg Total Time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655-4D38-A517-77CB3CE996A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655-4D38-A517-77CB3CE996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55-4D38-A517-77CB3CE996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Charts!$H$70:$H$72</c:f>
              <c:strCache>
                <c:ptCount val="3"/>
                <c:pt idx="0">
                  <c:v>Long (5+km)</c:v>
                </c:pt>
                <c:pt idx="1">
                  <c:v>Medium (2-5km)</c:v>
                </c:pt>
                <c:pt idx="2">
                  <c:v>Short (0-2km)</c:v>
                </c:pt>
              </c:strCache>
            </c:strRef>
          </c:cat>
          <c:val>
            <c:numRef>
              <c:f>Charts!$I$70:$I$72</c:f>
              <c:numCache>
                <c:formatCode>0.0</c:formatCode>
                <c:ptCount val="3"/>
                <c:pt idx="0">
                  <c:v>66.733333333333334</c:v>
                </c:pt>
                <c:pt idx="1">
                  <c:v>52.399999999999991</c:v>
                </c:pt>
                <c:pt idx="2">
                  <c:v>43.374999999999979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5-4D38-A517-77CB3CE99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9736687"/>
        <c:axId val="909727535"/>
      </c:barChart>
      <c:catAx>
        <c:axId val="909736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727535"/>
        <c:crosses val="autoZero"/>
        <c:auto val="1"/>
        <c:lblAlgn val="ctr"/>
        <c:lblOffset val="100"/>
        <c:noMultiLvlLbl val="0"/>
      </c:catAx>
      <c:valAx>
        <c:axId val="909727535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73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0</xdr:row>
      <xdr:rowOff>68580</xdr:rowOff>
    </xdr:from>
    <xdr:to>
      <xdr:col>6</xdr:col>
      <xdr:colOff>1082040</xdr:colOff>
      <xdr:row>15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1830494</xdr:colOff>
      <xdr:row>0</xdr:row>
      <xdr:rowOff>77470</xdr:rowOff>
    </xdr:from>
    <xdr:to>
      <xdr:col>6</xdr:col>
      <xdr:colOff>6402494</xdr:colOff>
      <xdr:row>15</xdr:row>
      <xdr:rowOff>77470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143934</xdr:colOff>
      <xdr:row>17</xdr:row>
      <xdr:rowOff>45296</xdr:rowOff>
    </xdr:from>
    <xdr:to>
      <xdr:col>6</xdr:col>
      <xdr:colOff>1058334</xdr:colOff>
      <xdr:row>32</xdr:row>
      <xdr:rowOff>45296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1828799</xdr:colOff>
      <xdr:row>17</xdr:row>
      <xdr:rowOff>41910</xdr:rowOff>
    </xdr:from>
    <xdr:to>
      <xdr:col>6</xdr:col>
      <xdr:colOff>6400799</xdr:colOff>
      <xdr:row>32</xdr:row>
      <xdr:rowOff>41910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127000</xdr:colOff>
      <xdr:row>33</xdr:row>
      <xdr:rowOff>166371</xdr:rowOff>
    </xdr:from>
    <xdr:to>
      <xdr:col>6</xdr:col>
      <xdr:colOff>1041400</xdr:colOff>
      <xdr:row>48</xdr:row>
      <xdr:rowOff>166371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1811867</xdr:colOff>
      <xdr:row>33</xdr:row>
      <xdr:rowOff>113030</xdr:rowOff>
    </xdr:from>
    <xdr:to>
      <xdr:col>6</xdr:col>
      <xdr:colOff>8955194</xdr:colOff>
      <xdr:row>68</xdr:row>
      <xdr:rowOff>124461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127847</xdr:colOff>
      <xdr:row>69</xdr:row>
      <xdr:rowOff>73237</xdr:rowOff>
    </xdr:from>
    <xdr:to>
      <xdr:col>6</xdr:col>
      <xdr:colOff>4467014</xdr:colOff>
      <xdr:row>92</xdr:row>
      <xdr:rowOff>107527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152401</xdr:colOff>
      <xdr:row>94</xdr:row>
      <xdr:rowOff>18204</xdr:rowOff>
    </xdr:from>
    <xdr:to>
      <xdr:col>6</xdr:col>
      <xdr:colOff>1684021</xdr:colOff>
      <xdr:row>112</xdr:row>
      <xdr:rowOff>55881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0.715</cdr:x>
      <cdr:y>0.23194</cdr:y>
    </cdr:from>
    <cdr:to>
      <cdr:x>0.915</cdr:x>
      <cdr:y>0.30417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68980" y="636270"/>
          <a:ext cx="91440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0.78028</cdr:x>
      <cdr:y>0.13028</cdr:y>
    </cdr:from>
    <cdr:to>
      <cdr:x>0.89786</cdr:x>
      <cdr:y>0.22911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237083" y="552450"/>
          <a:ext cx="939861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Peak demand, </a:t>
          </a:r>
        </a:p>
        <a:p xmlns:a="http://schemas.openxmlformats.org/drawingml/2006/main">
          <a:r>
            <a:rPr lang="en-IN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lowest supply</a:t>
          </a:r>
        </a:p>
      </cdr:txBody>
    </cdr:sp>
  </cdr:relSizeAnchor>
  <cdr:relSizeAnchor xmlns:cdr="http://schemas.openxmlformats.org/drawingml/2006/chartDrawing">
    <cdr:from>
      <cdr:x>0.84902</cdr:x>
      <cdr:y>0.9053</cdr:y>
    </cdr:from>
    <cdr:to>
      <cdr:x>0.96337</cdr:x>
      <cdr:y>0.99471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6789417" y="3909484"/>
          <a:ext cx="914400" cy="3860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800"/>
            <a:t>Hour 20 = 1 order only, </a:t>
          </a:r>
        </a:p>
        <a:p xmlns:a="http://schemas.openxmlformats.org/drawingml/2006/main">
          <a:r>
            <a:rPr lang="en-IN" sz="800"/>
            <a:t>not representative.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0.17621</cdr:x>
      <cdr:y>0.31271</cdr:y>
    </cdr:from>
    <cdr:to>
      <cdr:x>0.59618</cdr:x>
      <cdr:y>0.4685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4400" y="1040130"/>
          <a:ext cx="2179320" cy="518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/>
            <a:t>Short orders still take 43 min,</a:t>
          </a:r>
          <a:r>
            <a:rPr lang="en-IN" baseline="0"/>
            <a:t> Hence </a:t>
          </a:r>
        </a:p>
        <a:p xmlns:a="http://schemas.openxmlformats.org/drawingml/2006/main">
          <a:r>
            <a:rPr lang="en-IN"/>
            <a:t>prep time dominates.</a:t>
          </a:r>
          <a:endParaRPr lang="en-IN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36.536551041667" createdVersion="6" refreshedVersion="6" minRefreshableVersion="3" recordCount="250">
  <cacheSource type="worksheet">
    <worksheetSource ref="A1:AC251" sheet="Processed_Data"/>
  </cacheSource>
  <cacheFields count="29">
    <cacheField name="Order_ID" numFmtId="0">
      <sharedItems/>
    </cacheField>
    <cacheField name="Order_Time" numFmtId="0">
      <sharedItems/>
    </cacheField>
    <cacheField name="Order_Type" numFmtId="0">
      <sharedItems count="2">
        <s v="Normal"/>
        <s v="Bulk"/>
      </sharedItems>
    </cacheField>
    <cacheField name="Prep_Time" numFmtId="0">
      <sharedItems containsSemiMixedTypes="0" containsString="0" containsNumber="1" containsInteger="1" minValue="10" maxValue="40"/>
    </cacheField>
    <cacheField name="Ready_Time" numFmtId="0">
      <sharedItems/>
    </cacheField>
    <cacheField name="Rider_Assigned_Time" numFmtId="0">
      <sharedItems/>
    </cacheField>
    <cacheField name="Pickup_Time" numFmtId="20">
      <sharedItems containsSemiMixedTypes="0" containsNonDate="0" containsDate="1" containsString="0" minDate="1899-12-30T10:15:00" maxDate="1899-12-30T20:41:00"/>
    </cacheField>
    <cacheField name="Delivery_Time" numFmtId="0">
      <sharedItems/>
    </cacheField>
    <cacheField name="Distance_km" numFmtId="0">
      <sharedItems containsSemiMixedTypes="0" containsString="0" containsNumber="1" minValue="1.04" maxValue="7.9"/>
    </cacheField>
    <cacheField name="Rider_ID" numFmtId="0">
      <sharedItems count="20">
        <s v="R7"/>
        <s v="R8"/>
        <s v="R10"/>
        <s v="R16"/>
        <s v="R12"/>
        <s v="R13"/>
        <s v="R17"/>
        <s v="R18"/>
        <s v="R20"/>
        <s v="R5"/>
        <s v="R2"/>
        <s v="R19"/>
        <s v="R14"/>
        <s v="R4"/>
        <s v="R3"/>
        <s v="R15"/>
        <s v="R9"/>
        <s v="R1"/>
        <s v="R11"/>
        <s v="R6"/>
      </sharedItems>
    </cacheField>
    <cacheField name="Order_Value" numFmtId="0">
      <sharedItems containsSemiMixedTypes="0" containsString="0" containsNumber="1" containsInteger="1" minValue="150" maxValue="399"/>
    </cacheField>
    <cacheField name="Delivery_Cost" numFmtId="0">
      <sharedItems containsSemiMixedTypes="0" containsString="0" containsNumber="1" containsInteger="1" minValue="55" maxValue="138"/>
    </cacheField>
    <cacheField name="Status" numFmtId="0">
      <sharedItems/>
    </cacheField>
    <cacheField name="Rider_Availability" numFmtId="0">
      <sharedItems containsSemiMixedTypes="0" containsString="0" containsNumber="1" containsInteger="1" minValue="8" maxValue="20"/>
    </cacheField>
    <cacheField name="Traffic_Level" numFmtId="0">
      <sharedItems count="3">
        <s v="Medium"/>
        <s v="High"/>
        <s v="Low"/>
      </sharedItems>
    </cacheField>
    <cacheField name="Delivery_Failure" numFmtId="0">
      <sharedItems count="2">
        <s v="No"/>
        <s v="Yes"/>
      </sharedItems>
    </cacheField>
    <cacheField name="Delay_Reason" numFmtId="0">
      <sharedItems/>
    </cacheField>
    <cacheField name="Total_Delivery_Time" numFmtId="0">
      <sharedItems containsSemiMixedTypes="0" containsString="0" containsNumber="1" minValue="31.00000000000005" maxValue="104.00000000000011"/>
    </cacheField>
    <cacheField name="Prep_Wait_Time" numFmtId="0">
      <sharedItems containsSemiMixedTypes="0" containsString="0" containsNumber="1" minValue="0" maxValue="10.000000000000124"/>
    </cacheField>
    <cacheField name="Pickup_Lag" numFmtId="0">
      <sharedItems containsSemiMixedTypes="0" containsString="0" containsNumber="1" minValue="0.99999999999999645" maxValue="11.999999999999957"/>
    </cacheField>
    <cacheField name="Transit_Time" numFmtId="0">
      <sharedItems containsSemiMixedTypes="0" containsString="0" containsNumber="1" minValue="6.9999999999999751" maxValue="53.999999999999972"/>
    </cacheField>
    <cacheField name="Hour_of_Day" numFmtId="0">
      <sharedItems containsSemiMixedTypes="0" containsString="0" containsNumber="1" containsInteger="1" minValue="10" maxValue="20" count="11">
        <n v="12"/>
        <n v="11"/>
        <n v="17"/>
        <n v="18"/>
        <n v="19"/>
        <n v="16"/>
        <n v="13"/>
        <n v="15"/>
        <n v="14"/>
        <n v="10"/>
        <n v="20"/>
      </sharedItems>
    </cacheField>
    <cacheField name="Time_Slot" numFmtId="0">
      <sharedItems/>
    </cacheField>
    <cacheField name="Is_Peak_Hour" numFmtId="0">
      <sharedItems count="2">
        <s v="Peak"/>
        <s v="Off-Peak"/>
      </sharedItems>
    </cacheField>
    <cacheField name="Delivery_Speed_kmpm" numFmtId="2">
      <sharedItems containsSemiMixedTypes="0" containsString="0" containsNumber="1" minValue="4.9523809523809324E-2" maxValue="0.1967500000000007"/>
    </cacheField>
    <cacheField name="Cost_Per_km" numFmtId="2">
      <sharedItems containsSemiMixedTypes="0" containsString="0" containsNumber="1" minValue="15.628970775095299" maxValue="69.230769230769226"/>
    </cacheField>
    <cacheField name="Delivery_Cost_Ratio" numFmtId="2">
      <sharedItems containsSemiMixedTypes="0" containsString="0" containsNumber="1" minValue="0.15897435897435896" maxValue="0.79870129870129869"/>
    </cacheField>
    <cacheField name="Is_Late (Define Late as &gt;45min)" numFmtId="0">
      <sharedItems/>
    </cacheField>
    <cacheField name="Delay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136.575424421295" createdVersion="6" refreshedVersion="6" minRefreshableVersion="3" recordCount="250">
  <cacheSource type="worksheet">
    <worksheetSource ref="A1:AD251" sheet="Processed_Data"/>
  </cacheSource>
  <cacheFields count="30">
    <cacheField name="Order_ID" numFmtId="0">
      <sharedItems/>
    </cacheField>
    <cacheField name="Order_Time" numFmtId="0">
      <sharedItems/>
    </cacheField>
    <cacheField name="Order_Type" numFmtId="0">
      <sharedItems/>
    </cacheField>
    <cacheField name="Prep_Time" numFmtId="0">
      <sharedItems containsSemiMixedTypes="0" containsString="0" containsNumber="1" containsInteger="1" minValue="10" maxValue="40"/>
    </cacheField>
    <cacheField name="Ready_Time" numFmtId="0">
      <sharedItems/>
    </cacheField>
    <cacheField name="Rider_Assigned_Time" numFmtId="0">
      <sharedItems/>
    </cacheField>
    <cacheField name="Pickup_Time" numFmtId="20">
      <sharedItems containsSemiMixedTypes="0" containsNonDate="0" containsDate="1" containsString="0" minDate="1899-12-30T10:15:00" maxDate="1899-12-30T20:41:00"/>
    </cacheField>
    <cacheField name="Delivery_Time" numFmtId="0">
      <sharedItems/>
    </cacheField>
    <cacheField name="Distance_km" numFmtId="0">
      <sharedItems containsSemiMixedTypes="0" containsString="0" containsNumber="1" minValue="1.04" maxValue="7.9"/>
    </cacheField>
    <cacheField name="Rider_ID" numFmtId="0">
      <sharedItems/>
    </cacheField>
    <cacheField name="Order_Value" numFmtId="0">
      <sharedItems containsSemiMixedTypes="0" containsString="0" containsNumber="1" containsInteger="1" minValue="150" maxValue="399"/>
    </cacheField>
    <cacheField name="Delivery_Cost" numFmtId="0">
      <sharedItems containsSemiMixedTypes="0" containsString="0" containsNumber="1" containsInteger="1" minValue="55" maxValue="138"/>
    </cacheField>
    <cacheField name="Status" numFmtId="0">
      <sharedItems/>
    </cacheField>
    <cacheField name="Rider_Availability" numFmtId="0">
      <sharedItems containsSemiMixedTypes="0" containsString="0" containsNumber="1" containsInteger="1" minValue="8" maxValue="20"/>
    </cacheField>
    <cacheField name="Traffic_Level" numFmtId="0">
      <sharedItems/>
    </cacheField>
    <cacheField name="Delivery_Failure" numFmtId="0">
      <sharedItems/>
    </cacheField>
    <cacheField name="Delay_Reason" numFmtId="0">
      <sharedItems/>
    </cacheField>
    <cacheField name="Total_Delivery_Time" numFmtId="0">
      <sharedItems containsSemiMixedTypes="0" containsString="0" containsNumber="1" minValue="31.00000000000005" maxValue="104.00000000000011"/>
    </cacheField>
    <cacheField name="Prep_Wait_Time" numFmtId="0">
      <sharedItems containsSemiMixedTypes="0" containsString="0" containsNumber="1" minValue="0" maxValue="10.000000000000124"/>
    </cacheField>
    <cacheField name="Pickup_Lag" numFmtId="0">
      <sharedItems containsSemiMixedTypes="0" containsString="0" containsNumber="1" minValue="0.99999999999999645" maxValue="11.999999999999957"/>
    </cacheField>
    <cacheField name="Transit_Time" numFmtId="0">
      <sharedItems containsSemiMixedTypes="0" containsString="0" containsNumber="1" minValue="6.9999999999999751" maxValue="53.999999999999972"/>
    </cacheField>
    <cacheField name="Hour_of_Day" numFmtId="0">
      <sharedItems containsSemiMixedTypes="0" containsString="0" containsNumber="1" containsInteger="1" minValue="10" maxValue="20"/>
    </cacheField>
    <cacheField name="Time_Slot" numFmtId="0">
      <sharedItems/>
    </cacheField>
    <cacheField name="Is_Peak_Hour" numFmtId="0">
      <sharedItems/>
    </cacheField>
    <cacheField name="Delivery_Speed_kmpm" numFmtId="2">
      <sharedItems containsSemiMixedTypes="0" containsString="0" containsNumber="1" minValue="4.9523809523809324E-2" maxValue="0.1967500000000007"/>
    </cacheField>
    <cacheField name="Cost_Per_km" numFmtId="2">
      <sharedItems containsSemiMixedTypes="0" containsString="0" containsNumber="1" minValue="15.628970775095299" maxValue="69.230769230769226"/>
    </cacheField>
    <cacheField name="Delivery_Cost_Ratio" numFmtId="2">
      <sharedItems containsSemiMixedTypes="0" containsString="0" containsNumber="1" minValue="0.15897435897435896" maxValue="0.79870129870129869"/>
    </cacheField>
    <cacheField name="Is_Late (Define Late as &gt;45min)" numFmtId="0">
      <sharedItems/>
    </cacheField>
    <cacheField name="Delay_Category" numFmtId="0">
      <sharedItems/>
    </cacheField>
    <cacheField name="Distance_Bucket" numFmtId="0">
      <sharedItems count="3">
        <s v="Medium (2-5km)"/>
        <s v="Long (5+km)"/>
        <s v="Short (0-2km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s v="O1"/>
    <s v="12:17"/>
    <x v="0"/>
    <n v="11"/>
    <s v="12:28"/>
    <s v="12:31"/>
    <d v="1899-12-30T12:34:00"/>
    <s v="13:05"/>
    <n v="4.47"/>
    <x v="0"/>
    <n v="247"/>
    <n v="94"/>
    <s v="Delivered"/>
    <n v="14"/>
    <x v="0"/>
    <x v="0"/>
    <s v="None"/>
    <n v="48.000000000000149"/>
    <n v="2.9999999999999893"/>
    <n v="2.9999999999999893"/>
    <n v="31.00000000000005"/>
    <x v="0"/>
    <s v="Afternoon"/>
    <x v="0"/>
    <n v="0.14419354838709653"/>
    <n v="21.029082774049218"/>
    <n v="0.38056680161943318"/>
    <s v="Late"/>
    <s v="No Delay"/>
  </r>
  <r>
    <s v="O2"/>
    <s v="11:36"/>
    <x v="0"/>
    <n v="16"/>
    <s v="11:52"/>
    <s v="11:52"/>
    <d v="1899-12-30T11:58:00"/>
    <s v="12:39"/>
    <n v="6.34"/>
    <x v="1"/>
    <n v="218"/>
    <n v="117"/>
    <s v="Delivered"/>
    <n v="15"/>
    <x v="0"/>
    <x v="0"/>
    <s v="Distance"/>
    <n v="63.000000000000014"/>
    <n v="0"/>
    <n v="5.9999999999999787"/>
    <n v="41.000000000000014"/>
    <x v="1"/>
    <s v="Late Morning"/>
    <x v="1"/>
    <n v="0.15463414634146336"/>
    <n v="18.454258675078865"/>
    <n v="0.53669724770642202"/>
    <s v="Late"/>
    <s v="No Delay"/>
  </r>
  <r>
    <s v="O3"/>
    <s v="11:44"/>
    <x v="0"/>
    <n v="10"/>
    <s v="11:54"/>
    <s v="11:54"/>
    <d v="1899-12-30T11:56:00"/>
    <s v="12:33"/>
    <n v="5.55"/>
    <x v="0"/>
    <n v="247"/>
    <n v="105"/>
    <s v="Delivered"/>
    <n v="12"/>
    <x v="0"/>
    <x v="0"/>
    <s v="None"/>
    <n v="49.000000000000064"/>
    <n v="0"/>
    <n v="1.9999999999999929"/>
    <n v="37.000000000000028"/>
    <x v="1"/>
    <s v="Late Morning"/>
    <x v="1"/>
    <n v="0.14999999999999988"/>
    <n v="18.918918918918919"/>
    <n v="0.4251012145748988"/>
    <s v="Late"/>
    <s v="No Delay"/>
  </r>
  <r>
    <s v="O4"/>
    <s v="17:12"/>
    <x v="0"/>
    <n v="18"/>
    <s v="17:30"/>
    <s v="17:31"/>
    <d v="1899-12-30T17:32:00"/>
    <s v="18:23"/>
    <n v="7.57"/>
    <x v="1"/>
    <n v="323"/>
    <n v="128"/>
    <s v="Delivered"/>
    <n v="13"/>
    <x v="0"/>
    <x v="0"/>
    <s v="Distance"/>
    <n v="70.999999999999915"/>
    <n v="0.99999999999999645"/>
    <n v="0.99999999999999645"/>
    <n v="50.999999999999979"/>
    <x v="2"/>
    <s v="Evening"/>
    <x v="0"/>
    <n v="0.14843137254901967"/>
    <n v="16.908850726552178"/>
    <n v="0.39628482972136225"/>
    <s v="Late"/>
    <s v="No Delay"/>
  </r>
  <r>
    <s v="O5"/>
    <s v="17:50"/>
    <x v="0"/>
    <n v="10"/>
    <s v="18:00"/>
    <s v="18:00"/>
    <d v="1899-12-30T18:01:00"/>
    <s v="18:53"/>
    <n v="7.46"/>
    <x v="2"/>
    <n v="335"/>
    <n v="128"/>
    <s v="Delivered"/>
    <n v="15"/>
    <x v="0"/>
    <x v="0"/>
    <s v="Distance"/>
    <n v="63.000000000000099"/>
    <n v="0"/>
    <n v="0.99999999999999645"/>
    <n v="51.999999999999972"/>
    <x v="2"/>
    <s v="Evening"/>
    <x v="0"/>
    <n v="0.14346153846153853"/>
    <n v="17.158176943699733"/>
    <n v="0.38208955223880597"/>
    <s v="Late"/>
    <s v="No Delay"/>
  </r>
  <r>
    <s v="O6"/>
    <s v="12:03"/>
    <x v="0"/>
    <n v="18"/>
    <s v="12:21"/>
    <s v="12:22"/>
    <d v="1899-12-30T12:26:00"/>
    <s v="13:12"/>
    <n v="6.81"/>
    <x v="3"/>
    <n v="300"/>
    <n v="122"/>
    <s v="Delivered"/>
    <n v="15"/>
    <x v="0"/>
    <x v="0"/>
    <s v="Distance"/>
    <n v="68.999999999999915"/>
    <n v="1.0000000000001563"/>
    <n v="3.9999999999999858"/>
    <n v="45.999999999999837"/>
    <x v="0"/>
    <s v="Afternoon"/>
    <x v="0"/>
    <n v="0.14804347826087008"/>
    <n v="17.914831130690164"/>
    <n v="0.40666666666666668"/>
    <s v="Late"/>
    <s v="No Delay"/>
  </r>
  <r>
    <s v="O7"/>
    <s v="18:37"/>
    <x v="0"/>
    <n v="10"/>
    <s v="18:47"/>
    <s v="18:50"/>
    <d v="1899-12-30T18:56:00"/>
    <s v="19:34"/>
    <n v="6.21"/>
    <x v="4"/>
    <n v="194"/>
    <n v="113"/>
    <s v="Delivered"/>
    <n v="15"/>
    <x v="0"/>
    <x v="0"/>
    <s v="Distance"/>
    <n v="56.999999999999957"/>
    <n v="2.9999999999998295"/>
    <n v="5.9999999999999787"/>
    <n v="38.000000000000028"/>
    <x v="3"/>
    <s v="Peak Night"/>
    <x v="0"/>
    <n v="0.16342105263157883"/>
    <n v="18.196457326892109"/>
    <n v="0.58247422680412375"/>
    <s v="Late"/>
    <s v="No Delay"/>
  </r>
  <r>
    <s v="O8"/>
    <s v="19:21"/>
    <x v="0"/>
    <n v="20"/>
    <s v="19:41"/>
    <s v="19:41"/>
    <d v="1899-12-30T19:51:00"/>
    <s v="20:19"/>
    <n v="4.07"/>
    <x v="5"/>
    <n v="283"/>
    <n v="96"/>
    <s v="Delivered"/>
    <n v="10"/>
    <x v="1"/>
    <x v="0"/>
    <s v="Traffic"/>
    <n v="57.999999999999957"/>
    <n v="0"/>
    <n v="9.9999999999999645"/>
    <n v="28.00000000000006"/>
    <x v="4"/>
    <s v="Peak Night"/>
    <x v="0"/>
    <n v="0.14535714285714255"/>
    <n v="23.587223587223587"/>
    <n v="0.33922261484098942"/>
    <s v="Late"/>
    <s v="No Delay"/>
  </r>
  <r>
    <s v="O9"/>
    <s v="16:19"/>
    <x v="0"/>
    <n v="10"/>
    <s v="16:29"/>
    <s v="16:32"/>
    <d v="1899-12-30T16:37:00"/>
    <s v="16:54"/>
    <n v="3.16"/>
    <x v="6"/>
    <n v="193"/>
    <n v="76"/>
    <s v="Delivered"/>
    <n v="18"/>
    <x v="2"/>
    <x v="0"/>
    <s v="None"/>
    <n v="34.999999999999872"/>
    <n v="3.0000000000001492"/>
    <n v="4.9999999999999822"/>
    <n v="16.99999999999978"/>
    <x v="5"/>
    <s v="Evening"/>
    <x v="1"/>
    <n v="0.18588235294117889"/>
    <n v="24.050632911392405"/>
    <n v="0.39378238341968913"/>
    <s v="On-Time"/>
    <s v="No Delay"/>
  </r>
  <r>
    <s v="O10"/>
    <s v="13:52"/>
    <x v="0"/>
    <n v="13"/>
    <s v="14:05"/>
    <s v="14:07"/>
    <d v="1899-12-30T14:08:00"/>
    <s v="14:36"/>
    <n v="2.63"/>
    <x v="4"/>
    <n v="297"/>
    <n v="80"/>
    <s v="Delivered"/>
    <n v="16"/>
    <x v="0"/>
    <x v="0"/>
    <s v="None"/>
    <n v="43.999999999999844"/>
    <n v="1.9999999999999929"/>
    <n v="0.99999999999999645"/>
    <n v="27.999999999999901"/>
    <x v="6"/>
    <s v="Afternoon"/>
    <x v="0"/>
    <n v="9.3928571428571764E-2"/>
    <n v="30.418250950570343"/>
    <n v="0.26936026936026936"/>
    <s v="On-Time"/>
    <s v="No Delay"/>
  </r>
  <r>
    <s v="O11"/>
    <s v="17:50"/>
    <x v="0"/>
    <n v="20"/>
    <s v="18:10"/>
    <s v="18:10"/>
    <d v="1899-12-30T18:16:00"/>
    <s v="19:04"/>
    <n v="7.7"/>
    <x v="6"/>
    <n v="369"/>
    <n v="131"/>
    <s v="Delivered"/>
    <n v="16"/>
    <x v="0"/>
    <x v="0"/>
    <s v="Distance"/>
    <n v="74.000000000000057"/>
    <n v="0"/>
    <n v="5.9999999999999787"/>
    <n v="47.999999999999829"/>
    <x v="2"/>
    <s v="Evening"/>
    <x v="0"/>
    <n v="0.16041666666666723"/>
    <n v="17.012987012987011"/>
    <n v="0.35501355013550134"/>
    <s v="Late"/>
    <s v="No Delay"/>
  </r>
  <r>
    <s v="O12"/>
    <s v="12:12"/>
    <x v="0"/>
    <n v="18"/>
    <s v="12:30"/>
    <s v="12:33"/>
    <d v="1899-12-30T12:34:00"/>
    <s v="13:26"/>
    <n v="7.65"/>
    <x v="7"/>
    <n v="295"/>
    <n v="129"/>
    <s v="Delivered"/>
    <n v="13"/>
    <x v="0"/>
    <x v="0"/>
    <s v="Distance"/>
    <n v="74.000000000000057"/>
    <n v="2.9999999999999893"/>
    <n v="0.99999999999999645"/>
    <n v="51.999999999999972"/>
    <x v="0"/>
    <s v="Afternoon"/>
    <x v="0"/>
    <n v="0.1471153846153847"/>
    <n v="16.862745098039216"/>
    <n v="0.43728813559322033"/>
    <s v="Late"/>
    <s v="No Delay"/>
  </r>
  <r>
    <s v="O13"/>
    <s v="13:24"/>
    <x v="0"/>
    <n v="16"/>
    <s v="13:40"/>
    <s v="13:40"/>
    <d v="1899-12-30T13:41:00"/>
    <s v="14:13"/>
    <n v="3.9"/>
    <x v="8"/>
    <n v="309"/>
    <n v="91"/>
    <s v="Delivered"/>
    <n v="15"/>
    <x v="0"/>
    <x v="0"/>
    <s v="None"/>
    <n v="48.999999999999986"/>
    <n v="0"/>
    <n v="0.99999999999999645"/>
    <n v="32.000000000000043"/>
    <x v="6"/>
    <s v="Afternoon"/>
    <x v="0"/>
    <n v="0.12187499999999983"/>
    <n v="23.333333333333332"/>
    <n v="0.29449838187702265"/>
    <s v="Late"/>
    <s v="No Delay"/>
  </r>
  <r>
    <s v="O14"/>
    <s v="15:39"/>
    <x v="0"/>
    <n v="10"/>
    <s v="15:49"/>
    <s v="15:50"/>
    <d v="1899-12-30T15:56:00"/>
    <s v="16:13"/>
    <n v="2.2400000000000002"/>
    <x v="7"/>
    <n v="354"/>
    <n v="72"/>
    <s v="Delivered"/>
    <n v="16"/>
    <x v="2"/>
    <x v="0"/>
    <s v="None"/>
    <n v="33.999999999999879"/>
    <n v="0.99999999999999645"/>
    <n v="5.9999999999999787"/>
    <n v="16.99999999999994"/>
    <x v="7"/>
    <s v="Evening"/>
    <x v="1"/>
    <n v="0.13176470588235342"/>
    <n v="32.142857142857139"/>
    <n v="0.20338983050847459"/>
    <s v="On-Time"/>
    <s v="No Delay"/>
  </r>
  <r>
    <s v="O15"/>
    <s v="14:21"/>
    <x v="1"/>
    <n v="27"/>
    <s v="14:48"/>
    <s v="14:55"/>
    <d v="1899-12-30T14:59:00"/>
    <s v="15:22"/>
    <n v="4.17"/>
    <x v="8"/>
    <n v="178"/>
    <n v="86"/>
    <s v="Delivered"/>
    <n v="15"/>
    <x v="2"/>
    <x v="0"/>
    <s v="Restaurant Delay"/>
    <n v="61.000000000000099"/>
    <n v="6.9999999999999751"/>
    <n v="3.9999999999999858"/>
    <n v="23.000000000000078"/>
    <x v="8"/>
    <s v="Afternoon"/>
    <x v="1"/>
    <n v="0.18130434782608634"/>
    <n v="20.623501199040767"/>
    <n v="0.48314606741573035"/>
    <s v="Late"/>
    <s v="No Delay"/>
  </r>
  <r>
    <s v="O16"/>
    <s v="13:09"/>
    <x v="0"/>
    <n v="11"/>
    <s v="13:20"/>
    <s v="13:21"/>
    <d v="1899-12-30T13:22:00"/>
    <s v="13:47"/>
    <n v="2.79"/>
    <x v="2"/>
    <n v="315"/>
    <n v="78"/>
    <s v="Delivered"/>
    <n v="13"/>
    <x v="0"/>
    <x v="0"/>
    <s v="None"/>
    <n v="37.999999999999865"/>
    <n v="0.99999999999999645"/>
    <n v="0.99999999999999645"/>
    <n v="24.999999999999911"/>
    <x v="6"/>
    <s v="Afternoon"/>
    <x v="0"/>
    <n v="0.11160000000000039"/>
    <n v="27.956989247311828"/>
    <n v="0.24761904761904763"/>
    <s v="On-Time"/>
    <s v="No Delay"/>
  </r>
  <r>
    <s v="O17"/>
    <s v="17:45"/>
    <x v="0"/>
    <n v="17"/>
    <s v="18:02"/>
    <s v="18:05"/>
    <d v="1899-12-30T18:09:00"/>
    <s v="18:22"/>
    <n v="1.17"/>
    <x v="0"/>
    <n v="353"/>
    <n v="61"/>
    <s v="Delivered"/>
    <n v="15"/>
    <x v="0"/>
    <x v="0"/>
    <s v="None"/>
    <n v="37.000000000000028"/>
    <n v="2.9999999999998295"/>
    <n v="3.9999999999999858"/>
    <n v="13.000000000000114"/>
    <x v="2"/>
    <s v="Evening"/>
    <x v="0"/>
    <n v="8.9999999999999206E-2"/>
    <n v="52.136752136752143"/>
    <n v="0.17280453257790368"/>
    <s v="On-Time"/>
    <s v="No Delay"/>
  </r>
  <r>
    <s v="O18"/>
    <s v="14:24"/>
    <x v="1"/>
    <n v="31"/>
    <s v="14:55"/>
    <s v="15:00"/>
    <d v="1899-12-30T15:02:00"/>
    <s v="15:43"/>
    <n v="6.72"/>
    <x v="9"/>
    <n v="251"/>
    <n v="115"/>
    <s v="Delivered"/>
    <n v="19"/>
    <x v="2"/>
    <x v="0"/>
    <s v="Restaurant Delay"/>
    <n v="79.000000000000043"/>
    <n v="4.9999999999999822"/>
    <n v="1.9999999999999929"/>
    <n v="41.000000000000014"/>
    <x v="8"/>
    <s v="Afternoon"/>
    <x v="1"/>
    <n v="0.16390243902439017"/>
    <n v="17.113095238095237"/>
    <n v="0.45816733067729082"/>
    <s v="Late"/>
    <s v="No Delay"/>
  </r>
  <r>
    <s v="O19"/>
    <s v="10:36"/>
    <x v="0"/>
    <n v="12"/>
    <s v="10:48"/>
    <s v="10:51"/>
    <d v="1899-12-30T10:52:00"/>
    <s v="11:30"/>
    <n v="4.54"/>
    <x v="6"/>
    <n v="206"/>
    <n v="100"/>
    <s v="Delivered"/>
    <n v="15"/>
    <x v="0"/>
    <x v="0"/>
    <s v="None"/>
    <n v="54.00000000000005"/>
    <n v="2.9999999999999893"/>
    <n v="0.99999999999999645"/>
    <n v="38.000000000000028"/>
    <x v="9"/>
    <s v="Late Morning"/>
    <x v="1"/>
    <n v="0.11947368421052623"/>
    <n v="22.026431718061673"/>
    <n v="0.4854368932038835"/>
    <s v="Late"/>
    <s v="No Delay"/>
  </r>
  <r>
    <s v="O20"/>
    <s v="17:41"/>
    <x v="0"/>
    <n v="20"/>
    <s v="18:01"/>
    <s v="18:03"/>
    <d v="1899-12-30T18:05:00"/>
    <s v="18:46"/>
    <n v="5.72"/>
    <x v="10"/>
    <n v="259"/>
    <n v="110"/>
    <s v="Delivered"/>
    <n v="12"/>
    <x v="0"/>
    <x v="0"/>
    <s v="None"/>
    <n v="64.999999999999929"/>
    <n v="1.9999999999999929"/>
    <n v="1.9999999999999929"/>
    <n v="41.000000000000014"/>
    <x v="2"/>
    <s v="Evening"/>
    <x v="0"/>
    <n v="0.13951219512195118"/>
    <n v="19.23076923076923"/>
    <n v="0.42471042471042469"/>
    <s v="Late"/>
    <s v="No Delay"/>
  </r>
  <r>
    <s v="O21"/>
    <s v="15:05"/>
    <x v="1"/>
    <n v="31"/>
    <s v="15:36"/>
    <s v="15:41"/>
    <d v="1899-12-30T15:44:00"/>
    <s v="15:57"/>
    <n v="1.5"/>
    <x v="2"/>
    <n v="390"/>
    <n v="62"/>
    <s v="Delivered"/>
    <n v="15"/>
    <x v="2"/>
    <x v="0"/>
    <s v="Restaurant Delay"/>
    <n v="51.999999999999972"/>
    <n v="4.9999999999999822"/>
    <n v="2.9999999999999893"/>
    <n v="12.999999999999954"/>
    <x v="7"/>
    <s v="Evening"/>
    <x v="1"/>
    <n v="0.11538461538461579"/>
    <n v="41.333333333333336"/>
    <n v="0.15897435897435896"/>
    <s v="Late"/>
    <s v="No Delay"/>
  </r>
  <r>
    <s v="O22"/>
    <s v="12:42"/>
    <x v="0"/>
    <n v="14"/>
    <s v="12:56"/>
    <s v="12:56"/>
    <d v="1899-12-30T13:02:00"/>
    <s v="13:32"/>
    <n v="4.93"/>
    <x v="11"/>
    <n v="205"/>
    <n v="99"/>
    <s v="Delivered"/>
    <n v="13"/>
    <x v="0"/>
    <x v="0"/>
    <s v="None"/>
    <n v="49.999999999999986"/>
    <n v="0"/>
    <n v="5.9999999999999787"/>
    <n v="30.000000000000053"/>
    <x v="0"/>
    <s v="Afternoon"/>
    <x v="0"/>
    <n v="0.16433333333333303"/>
    <n v="20.08113590263692"/>
    <n v="0.48292682926829267"/>
    <s v="Late"/>
    <s v="No Delay"/>
  </r>
  <r>
    <s v="O23"/>
    <s v="17:51"/>
    <x v="0"/>
    <n v="19"/>
    <s v="18:10"/>
    <s v="18:12"/>
    <d v="1899-12-30T18:18:00"/>
    <s v="18:42"/>
    <n v="3.65"/>
    <x v="12"/>
    <n v="296"/>
    <n v="86"/>
    <s v="Delivered"/>
    <n v="16"/>
    <x v="0"/>
    <x v="0"/>
    <s v="None"/>
    <n v="50.999999999999979"/>
    <n v="1.999999999999833"/>
    <n v="5.9999999999999787"/>
    <n v="24.000000000000075"/>
    <x v="2"/>
    <s v="Evening"/>
    <x v="0"/>
    <n v="0.15208333333333285"/>
    <n v="23.56164383561644"/>
    <n v="0.29054054054054052"/>
    <s v="Late"/>
    <s v="No Delay"/>
  </r>
  <r>
    <s v="O24"/>
    <s v="13:18"/>
    <x v="0"/>
    <n v="20"/>
    <s v="13:38"/>
    <s v="13:38"/>
    <d v="1899-12-30T13:43:00"/>
    <s v="14:14"/>
    <n v="4.53"/>
    <x v="5"/>
    <n v="373"/>
    <n v="97"/>
    <s v="Delivered"/>
    <n v="15"/>
    <x v="0"/>
    <x v="0"/>
    <s v="None"/>
    <n v="55.999999999999957"/>
    <n v="0"/>
    <n v="4.9999999999999822"/>
    <n v="31.00000000000005"/>
    <x v="6"/>
    <s v="Afternoon"/>
    <x v="0"/>
    <n v="0.14612903225806428"/>
    <n v="21.41280353200883"/>
    <n v="0.26005361930294907"/>
    <s v="Late"/>
    <s v="No Delay"/>
  </r>
  <r>
    <s v="O25"/>
    <s v="14:48"/>
    <x v="1"/>
    <n v="31"/>
    <s v="15:19"/>
    <s v="15:26"/>
    <d v="1899-12-30T15:28:00"/>
    <s v="16:09"/>
    <n v="6.48"/>
    <x v="13"/>
    <n v="218"/>
    <n v="113"/>
    <s v="Delivered"/>
    <n v="17"/>
    <x v="2"/>
    <x v="0"/>
    <s v="Restaurant Delay"/>
    <n v="80.999999999999872"/>
    <n v="7.000000000000135"/>
    <n v="1.9999999999999929"/>
    <n v="40.999999999999858"/>
    <x v="8"/>
    <s v="Afternoon"/>
    <x v="1"/>
    <n v="0.15804878048780543"/>
    <n v="17.438271604938272"/>
    <n v="0.51834862385321101"/>
    <s v="Late"/>
    <s v="No Delay"/>
  </r>
  <r>
    <s v="O26"/>
    <s v="16:28"/>
    <x v="0"/>
    <n v="15"/>
    <s v="16:43"/>
    <s v="16:44"/>
    <d v="1899-12-30T16:49:00"/>
    <s v="17:16"/>
    <n v="4.3899999999999997"/>
    <x v="9"/>
    <n v="171"/>
    <n v="92"/>
    <s v="Failed"/>
    <n v="20"/>
    <x v="2"/>
    <x v="1"/>
    <s v="Restaurant Delay"/>
    <n v="48.000000000000149"/>
    <n v="1.0000000000001563"/>
    <n v="4.9999999999999822"/>
    <n v="26.999999999999904"/>
    <x v="5"/>
    <s v="Evening"/>
    <x v="1"/>
    <n v="0.16259259259259315"/>
    <n v="20.956719817767656"/>
    <n v="0.53801169590643272"/>
    <s v="Late"/>
    <s v="Restaurant Delay"/>
  </r>
  <r>
    <s v="O27"/>
    <s v="12:53"/>
    <x v="0"/>
    <n v="18"/>
    <s v="13:11"/>
    <s v="13:13"/>
    <d v="1899-12-30T13:17:00"/>
    <s v="13:58"/>
    <n v="6.31"/>
    <x v="13"/>
    <n v="237"/>
    <n v="115"/>
    <s v="Delivered"/>
    <n v="13"/>
    <x v="0"/>
    <x v="0"/>
    <s v="Distance"/>
    <n v="65.000000000000085"/>
    <n v="1.9999999999999929"/>
    <n v="3.9999999999999858"/>
    <n v="41.000000000000014"/>
    <x v="0"/>
    <s v="Afternoon"/>
    <x v="0"/>
    <n v="0.15390243902439019"/>
    <n v="18.225039619651348"/>
    <n v="0.48523206751054854"/>
    <s v="Late"/>
    <s v="No Delay"/>
  </r>
  <r>
    <s v="O28"/>
    <s v="14:58"/>
    <x v="0"/>
    <n v="19"/>
    <s v="15:17"/>
    <s v="15:17"/>
    <d v="1899-12-30T15:18:00"/>
    <s v="15:36"/>
    <n v="1.95"/>
    <x v="14"/>
    <n v="254"/>
    <n v="67"/>
    <s v="Delivered"/>
    <n v="20"/>
    <x v="2"/>
    <x v="0"/>
    <s v="None"/>
    <n v="38.000000000000028"/>
    <n v="0"/>
    <n v="0.99999999999999645"/>
    <n v="18.000000000000096"/>
    <x v="8"/>
    <s v="Afternoon"/>
    <x v="1"/>
    <n v="0.10833333333333275"/>
    <n v="34.358974358974358"/>
    <n v="0.26377952755905509"/>
    <s v="On-Time"/>
    <s v="No Delay"/>
  </r>
  <r>
    <s v="O29"/>
    <s v="16:29"/>
    <x v="0"/>
    <n v="12"/>
    <s v="16:41"/>
    <s v="16:44"/>
    <d v="1899-12-30T16:45:00"/>
    <s v="17:02"/>
    <n v="1.8"/>
    <x v="11"/>
    <n v="207"/>
    <n v="65"/>
    <s v="Failed"/>
    <n v="16"/>
    <x v="2"/>
    <x v="1"/>
    <s v="Restaurant Delay"/>
    <n v="33.000000000000043"/>
    <n v="3.0000000000001492"/>
    <n v="0.99999999999999645"/>
    <n v="16.99999999999994"/>
    <x v="5"/>
    <s v="Evening"/>
    <x v="1"/>
    <n v="0.10588235294117684"/>
    <n v="36.111111111111107"/>
    <n v="0.3140096618357488"/>
    <s v="On-Time"/>
    <s v="Restaurant Delay"/>
  </r>
  <r>
    <s v="O30"/>
    <s v="11:23"/>
    <x v="0"/>
    <n v="15"/>
    <s v="11:38"/>
    <s v="11:38"/>
    <d v="1899-12-30T11:41:00"/>
    <s v="12:17"/>
    <n v="4.74"/>
    <x v="13"/>
    <n v="220"/>
    <n v="101"/>
    <s v="Delivered"/>
    <n v="14"/>
    <x v="0"/>
    <x v="0"/>
    <s v="None"/>
    <n v="53.999999999999972"/>
    <n v="0"/>
    <n v="2.9999999999999893"/>
    <n v="35.99999999999995"/>
    <x v="1"/>
    <s v="Late Morning"/>
    <x v="1"/>
    <n v="0.13166666666666685"/>
    <n v="21.308016877637129"/>
    <n v="0.45909090909090911"/>
    <s v="Late"/>
    <s v="No Delay"/>
  </r>
  <r>
    <s v="O31"/>
    <s v="10:46"/>
    <x v="0"/>
    <n v="10"/>
    <s v="10:56"/>
    <s v="10:59"/>
    <d v="1899-12-30T11:05:00"/>
    <s v="11:21"/>
    <n v="1.1000000000000001"/>
    <x v="10"/>
    <n v="376"/>
    <n v="66"/>
    <s v="Delivered"/>
    <n v="16"/>
    <x v="0"/>
    <x v="0"/>
    <s v="None"/>
    <n v="34.999999999999957"/>
    <n v="2.9999999999999893"/>
    <n v="5.9999999999999787"/>
    <n v="16.000000000000021"/>
    <x v="9"/>
    <s v="Late Morning"/>
    <x v="1"/>
    <n v="6.8749999999999908E-2"/>
    <n v="59.999999999999993"/>
    <n v="0.17553191489361702"/>
    <s v="On-Time"/>
    <s v="No Delay"/>
  </r>
  <r>
    <s v="O32"/>
    <s v="13:12"/>
    <x v="0"/>
    <n v="19"/>
    <s v="13:31"/>
    <s v="13:32"/>
    <d v="1899-12-30T13:34:00"/>
    <s v="13:54"/>
    <n v="1.81"/>
    <x v="13"/>
    <n v="190"/>
    <n v="69"/>
    <s v="Delivered"/>
    <n v="15"/>
    <x v="0"/>
    <x v="0"/>
    <s v="None"/>
    <n v="42.000000000000171"/>
    <n v="0.99999999999999645"/>
    <n v="1.9999999999999929"/>
    <n v="20.000000000000089"/>
    <x v="6"/>
    <s v="Afternoon"/>
    <x v="0"/>
    <n v="9.0499999999999595E-2"/>
    <n v="38.121546961325969"/>
    <n v="0.36315789473684212"/>
    <s v="On-Time"/>
    <s v="No Delay"/>
  </r>
  <r>
    <s v="O33"/>
    <s v="17:25"/>
    <x v="0"/>
    <n v="16"/>
    <s v="17:41"/>
    <s v="17:43"/>
    <d v="1899-12-30T17:49:00"/>
    <s v="18:35"/>
    <n v="7.36"/>
    <x v="3"/>
    <n v="332"/>
    <n v="127"/>
    <s v="Delivered"/>
    <n v="18"/>
    <x v="0"/>
    <x v="0"/>
    <s v="Distance"/>
    <n v="69.999999999999744"/>
    <n v="1.999999999999833"/>
    <n v="5.9999999999999787"/>
    <n v="46"/>
    <x v="2"/>
    <s v="Evening"/>
    <x v="0"/>
    <n v="0.16"/>
    <n v="17.255434782608695"/>
    <n v="0.38253012048192769"/>
    <s v="Late"/>
    <s v="No Delay"/>
  </r>
  <r>
    <s v="O34"/>
    <s v="15:22"/>
    <x v="1"/>
    <n v="35"/>
    <s v="15:57"/>
    <s v="16:04"/>
    <d v="1899-12-30T16:09:00"/>
    <s v="16:16"/>
    <n v="1.07"/>
    <x v="15"/>
    <n v="231"/>
    <n v="55"/>
    <s v="Delivered"/>
    <n v="15"/>
    <x v="2"/>
    <x v="0"/>
    <s v="Restaurant Delay"/>
    <n v="53.999999999999808"/>
    <n v="6.9999999999999751"/>
    <n v="4.9999999999999822"/>
    <n v="6.9999999999999751"/>
    <x v="7"/>
    <s v="Evening"/>
    <x v="1"/>
    <n v="0.15285714285714341"/>
    <n v="51.401869158878505"/>
    <n v="0.23809523809523808"/>
    <s v="Late"/>
    <s v="No Delay"/>
  </r>
  <r>
    <s v="O35"/>
    <s v="16:40"/>
    <x v="0"/>
    <n v="11"/>
    <s v="16:51"/>
    <s v="16:54"/>
    <d v="1899-12-30T16:56:00"/>
    <s v="17:41"/>
    <n v="7.79"/>
    <x v="8"/>
    <n v="205"/>
    <n v="124"/>
    <s v="Delivered"/>
    <n v="15"/>
    <x v="2"/>
    <x v="0"/>
    <s v="Distance"/>
    <n v="60.999999999999943"/>
    <n v="2.9999999999998295"/>
    <n v="1.9999999999999929"/>
    <n v="45.000000000000156"/>
    <x v="5"/>
    <s v="Evening"/>
    <x v="1"/>
    <n v="0.17311111111111052"/>
    <n v="15.917843388960206"/>
    <n v="0.60487804878048779"/>
    <s v="Late"/>
    <s v="No Delay"/>
  </r>
  <r>
    <s v="O36"/>
    <s v="19:15"/>
    <x v="0"/>
    <n v="17"/>
    <s v="19:32"/>
    <s v="19:33"/>
    <d v="1899-12-30T19:42:00"/>
    <s v="20:05"/>
    <n v="2.2799999999999998"/>
    <x v="4"/>
    <n v="213"/>
    <n v="81"/>
    <s v="Delivered"/>
    <n v="10"/>
    <x v="1"/>
    <x v="0"/>
    <s v="Traffic"/>
    <n v="49.999999999999822"/>
    <n v="0.99999999999983658"/>
    <n v="8.999999999999968"/>
    <n v="22.999999999999918"/>
    <x v="4"/>
    <s v="Peak Night"/>
    <x v="0"/>
    <n v="9.9130434782609037E-2"/>
    <n v="35.526315789473685"/>
    <n v="0.38028169014084506"/>
    <s v="Late"/>
    <s v="No Delay"/>
  </r>
  <r>
    <s v="O37"/>
    <s v="11:23"/>
    <x v="0"/>
    <n v="11"/>
    <s v="11:34"/>
    <s v="11:36"/>
    <d v="1899-12-30T11:39:00"/>
    <s v="11:59"/>
    <n v="1.63"/>
    <x v="2"/>
    <n v="249"/>
    <n v="69"/>
    <s v="Delivered"/>
    <n v="18"/>
    <x v="0"/>
    <x v="0"/>
    <s v="None"/>
    <n v="35.99999999999995"/>
    <n v="1.9999999999999929"/>
    <n v="2.9999999999999893"/>
    <n v="19.999999999999929"/>
    <x v="1"/>
    <s v="Late Morning"/>
    <x v="1"/>
    <n v="8.1500000000000281E-2"/>
    <n v="42.331288343558285"/>
    <n v="0.27710843373493976"/>
    <s v="On-Time"/>
    <s v="No Delay"/>
  </r>
  <r>
    <s v="O38"/>
    <s v="10:42"/>
    <x v="0"/>
    <n v="15"/>
    <s v="10:57"/>
    <s v="10:59"/>
    <d v="1899-12-30T11:04:00"/>
    <s v="11:51"/>
    <n v="7.25"/>
    <x v="7"/>
    <n v="175"/>
    <n v="126"/>
    <s v="Delivered"/>
    <n v="18"/>
    <x v="0"/>
    <x v="0"/>
    <s v="Distance"/>
    <n v="69"/>
    <n v="1.9999999999999929"/>
    <n v="4.9999999999999822"/>
    <n v="46.999999999999993"/>
    <x v="9"/>
    <s v="Late Morning"/>
    <x v="1"/>
    <n v="0.1542553191489362"/>
    <n v="17.379310344827587"/>
    <n v="0.72"/>
    <s v="Late"/>
    <s v="No Delay"/>
  </r>
  <r>
    <s v="O39"/>
    <s v="19:52"/>
    <x v="0"/>
    <n v="11"/>
    <s v="20:03"/>
    <s v="20:09"/>
    <d v="1899-12-30T20:16:00"/>
    <s v="20:34"/>
    <n v="1.1399999999999999"/>
    <x v="7"/>
    <n v="218"/>
    <n v="69"/>
    <s v="Delivered"/>
    <n v="9"/>
    <x v="1"/>
    <x v="0"/>
    <s v="Traffic"/>
    <n v="41.999999999999851"/>
    <n v="5.9999999999998188"/>
    <n v="6.9999999999999751"/>
    <n v="18.000000000000096"/>
    <x v="4"/>
    <s v="Peak Night"/>
    <x v="0"/>
    <n v="6.3333333333332992E-2"/>
    <n v="60.526315789473692"/>
    <n v="0.3165137614678899"/>
    <s v="On-Time"/>
    <s v="No Delay"/>
  </r>
  <r>
    <s v="O40"/>
    <s v="11:12"/>
    <x v="0"/>
    <n v="10"/>
    <s v="11:22"/>
    <s v="11:24"/>
    <d v="1899-12-30T11:26:00"/>
    <s v="11:51"/>
    <n v="3.04"/>
    <x v="9"/>
    <n v="370"/>
    <n v="80"/>
    <s v="Delivered"/>
    <n v="17"/>
    <x v="0"/>
    <x v="0"/>
    <s v="None"/>
    <n v="39.000000000000021"/>
    <n v="1.9999999999999929"/>
    <n v="1.9999999999999929"/>
    <n v="24.999999999999911"/>
    <x v="1"/>
    <s v="Late Morning"/>
    <x v="1"/>
    <n v="0.12160000000000043"/>
    <n v="26.315789473684209"/>
    <n v="0.21621621621621623"/>
    <s v="On-Time"/>
    <s v="No Delay"/>
  </r>
  <r>
    <s v="O41"/>
    <s v="11:43"/>
    <x v="0"/>
    <n v="15"/>
    <s v="11:58"/>
    <s v="11:59"/>
    <d v="1899-12-30T12:00:00"/>
    <s v="12:53"/>
    <n v="7.64"/>
    <x v="9"/>
    <n v="188"/>
    <n v="130"/>
    <s v="Delivered"/>
    <n v="12"/>
    <x v="0"/>
    <x v="0"/>
    <s v="Distance"/>
    <n v="69.999999999999986"/>
    <n v="0.99999999999991651"/>
    <n v="0.99999999999999645"/>
    <n v="53.00000000000005"/>
    <x v="1"/>
    <s v="Late Morning"/>
    <x v="1"/>
    <n v="0.14415094339622628"/>
    <n v="17.015706806282722"/>
    <n v="0.69148936170212771"/>
    <s v="Late"/>
    <s v="No Delay"/>
  </r>
  <r>
    <s v="O42"/>
    <s v="15:27"/>
    <x v="0"/>
    <n v="18"/>
    <s v="15:45"/>
    <s v="15:46"/>
    <d v="1899-12-30T15:49:00"/>
    <s v="16:04"/>
    <n v="1.88"/>
    <x v="10"/>
    <n v="383"/>
    <n v="65"/>
    <s v="Delivered"/>
    <n v="19"/>
    <x v="2"/>
    <x v="0"/>
    <s v="None"/>
    <n v="37.000000000000028"/>
    <n v="0.99999999999999645"/>
    <n v="2.9999999999999893"/>
    <n v="14.999999999999947"/>
    <x v="7"/>
    <s v="Evening"/>
    <x v="1"/>
    <n v="0.12533333333333377"/>
    <n v="34.574468085106382"/>
    <n v="0.16971279373368145"/>
    <s v="On-Time"/>
    <s v="No Delay"/>
  </r>
  <r>
    <s v="O43"/>
    <s v="15:23"/>
    <x v="0"/>
    <n v="19"/>
    <s v="15:42"/>
    <s v="15:43"/>
    <d v="1899-12-30T15:48:00"/>
    <s v="16:28"/>
    <n v="6.89"/>
    <x v="7"/>
    <n v="260"/>
    <n v="117"/>
    <s v="Delivered"/>
    <n v="20"/>
    <x v="2"/>
    <x v="0"/>
    <s v="Distance"/>
    <n v="64.999999999999929"/>
    <n v="0.99999999999999645"/>
    <n v="4.9999999999999822"/>
    <n v="39.999999999999858"/>
    <x v="7"/>
    <s v="Evening"/>
    <x v="1"/>
    <n v="0.1722500000000006"/>
    <n v="16.981132075471699"/>
    <n v="0.45"/>
    <s v="Late"/>
    <s v="No Delay"/>
  </r>
  <r>
    <s v="O44"/>
    <s v="12:41"/>
    <x v="1"/>
    <n v="32"/>
    <s v="13:13"/>
    <s v="13:21"/>
    <d v="1899-12-30T13:26:00"/>
    <s v="14:01"/>
    <n v="5.77"/>
    <x v="16"/>
    <n v="290"/>
    <n v="107"/>
    <s v="Delivered"/>
    <n v="14"/>
    <x v="0"/>
    <x v="0"/>
    <s v="Restaurant Delay"/>
    <n v="80.000000000000028"/>
    <n v="7.9999999999999716"/>
    <n v="4.9999999999999822"/>
    <n v="35.000000000000036"/>
    <x v="0"/>
    <s v="Afternoon"/>
    <x v="0"/>
    <n v="0.16485714285714267"/>
    <n v="18.544194107452341"/>
    <n v="0.36896551724137933"/>
    <s v="Late"/>
    <s v="No Delay"/>
  </r>
  <r>
    <s v="O45"/>
    <s v="19:14"/>
    <x v="0"/>
    <n v="18"/>
    <s v="19:32"/>
    <s v="19:34"/>
    <d v="1899-12-30T19:41:00"/>
    <s v="20:09"/>
    <n v="3.77"/>
    <x v="17"/>
    <n v="274"/>
    <n v="92"/>
    <s v="Delivered"/>
    <n v="11"/>
    <x v="1"/>
    <x v="0"/>
    <s v="Traffic"/>
    <n v="54.999999999999801"/>
    <n v="1.999999999999833"/>
    <n v="6.9999999999999751"/>
    <n v="27.999999999999901"/>
    <x v="4"/>
    <s v="Peak Night"/>
    <x v="0"/>
    <n v="0.13464285714285762"/>
    <n v="24.403183023872678"/>
    <n v="0.33576642335766421"/>
    <s v="Late"/>
    <s v="No Delay"/>
  </r>
  <r>
    <s v="O46"/>
    <s v="17:06"/>
    <x v="0"/>
    <n v="10"/>
    <s v="17:16"/>
    <s v="17:17"/>
    <d v="1899-12-30T17:19:00"/>
    <s v="17:51"/>
    <n v="3.48"/>
    <x v="16"/>
    <n v="185"/>
    <n v="89"/>
    <s v="Delivered"/>
    <n v="12"/>
    <x v="0"/>
    <x v="0"/>
    <s v="None"/>
    <n v="45"/>
    <n v="1.0000000000001563"/>
    <n v="1.9999999999999929"/>
    <n v="31.999999999999886"/>
    <x v="2"/>
    <s v="Evening"/>
    <x v="0"/>
    <n v="0.10875000000000039"/>
    <n v="25.574712643678161"/>
    <n v="0.48108108108108111"/>
    <s v="On-Time"/>
    <s v="No Delay"/>
  </r>
  <r>
    <s v="O47"/>
    <s v="14:43"/>
    <x v="0"/>
    <n v="16"/>
    <s v="14:59"/>
    <s v="15:02"/>
    <d v="1899-12-30T15:08:00"/>
    <s v="15:21"/>
    <n v="1.62"/>
    <x v="6"/>
    <n v="231"/>
    <n v="65"/>
    <s v="Failed"/>
    <n v="16"/>
    <x v="2"/>
    <x v="1"/>
    <s v="Restaurant Delay"/>
    <n v="37.999999999999865"/>
    <n v="2.9999999999999893"/>
    <n v="5.9999999999999787"/>
    <n v="12.999999999999954"/>
    <x v="8"/>
    <s v="Afternoon"/>
    <x v="1"/>
    <n v="0.12461538461538507"/>
    <n v="40.123456790123456"/>
    <n v="0.2813852813852814"/>
    <s v="On-Time"/>
    <s v="Restaurant Delay"/>
  </r>
  <r>
    <s v="O48"/>
    <s v="17:28"/>
    <x v="0"/>
    <n v="20"/>
    <s v="17:48"/>
    <s v="17:51"/>
    <d v="1899-12-30T17:55:00"/>
    <s v="18:17"/>
    <n v="2.67"/>
    <x v="1"/>
    <n v="394"/>
    <n v="77"/>
    <s v="Delivered"/>
    <n v="17"/>
    <x v="0"/>
    <x v="0"/>
    <s v="None"/>
    <n v="49.000000000000142"/>
    <n v="2.9999999999999893"/>
    <n v="3.9999999999999858"/>
    <n v="22.000000000000082"/>
    <x v="2"/>
    <s v="Evening"/>
    <x v="0"/>
    <n v="0.12136363636363591"/>
    <n v="28.838951310861425"/>
    <n v="0.19543147208121828"/>
    <s v="Late"/>
    <s v="No Delay"/>
  </r>
  <r>
    <s v="O49"/>
    <s v="17:02"/>
    <x v="0"/>
    <n v="19"/>
    <s v="17:21"/>
    <s v="17:22"/>
    <d v="1899-12-30T17:26:00"/>
    <s v="17:53"/>
    <n v="2.93"/>
    <x v="6"/>
    <n v="345"/>
    <n v="84"/>
    <s v="Failed"/>
    <n v="17"/>
    <x v="0"/>
    <x v="1"/>
    <s v="Restaurant Delay"/>
    <n v="50.999999999999979"/>
    <n v="0.99999999999983658"/>
    <n v="3.9999999999999858"/>
    <n v="27.000000000000064"/>
    <x v="2"/>
    <s v="Evening"/>
    <x v="0"/>
    <n v="0.10851851851851826"/>
    <n v="28.668941979522184"/>
    <n v="0.24347826086956523"/>
    <s v="Late"/>
    <s v="Restaurant Delay"/>
  </r>
  <r>
    <s v="O50"/>
    <s v="16:17"/>
    <x v="0"/>
    <n v="13"/>
    <s v="16:30"/>
    <s v="16:32"/>
    <d v="1899-12-30T16:35:00"/>
    <s v="17:10"/>
    <n v="5.85"/>
    <x v="15"/>
    <n v="329"/>
    <n v="105"/>
    <s v="Delivered"/>
    <n v="17"/>
    <x v="2"/>
    <x v="0"/>
    <s v="None"/>
    <n v="52.999999999999972"/>
    <n v="2.0000000000001528"/>
    <n v="2.9999999999999893"/>
    <n v="34.999999999999872"/>
    <x v="5"/>
    <s v="Evening"/>
    <x v="1"/>
    <n v="0.16714285714285773"/>
    <n v="17.948717948717949"/>
    <n v="0.31914893617021278"/>
    <s v="Late"/>
    <s v="No Delay"/>
  </r>
  <r>
    <s v="O51"/>
    <s v="11:27"/>
    <x v="0"/>
    <n v="19"/>
    <s v="11:46"/>
    <s v="11:47"/>
    <d v="1899-12-30T11:50:00"/>
    <s v="12:21"/>
    <n v="3.64"/>
    <x v="11"/>
    <n v="205"/>
    <n v="90"/>
    <s v="Delivered"/>
    <n v="16"/>
    <x v="0"/>
    <x v="0"/>
    <s v="None"/>
    <n v="53.999999999999972"/>
    <n v="0.99999999999991651"/>
    <n v="2.9999999999999893"/>
    <n v="30.999999999999972"/>
    <x v="1"/>
    <s v="Late Morning"/>
    <x v="1"/>
    <n v="0.11741935483870979"/>
    <n v="24.725274725274723"/>
    <n v="0.43902439024390244"/>
    <s v="Late"/>
    <s v="No Delay"/>
  </r>
  <r>
    <s v="O52"/>
    <s v="10:53"/>
    <x v="0"/>
    <n v="16"/>
    <s v="11:09"/>
    <s v="11:10"/>
    <d v="1899-12-30T11:12:00"/>
    <s v="11:44"/>
    <n v="3.44"/>
    <x v="6"/>
    <n v="160"/>
    <n v="89"/>
    <s v="Delivered"/>
    <n v="17"/>
    <x v="0"/>
    <x v="0"/>
    <s v="None"/>
    <n v="50.999999999999979"/>
    <n v="0.99999999999991651"/>
    <n v="1.9999999999999929"/>
    <n v="32.000000000000043"/>
    <x v="9"/>
    <s v="Late Morning"/>
    <x v="1"/>
    <n v="0.10749999999999986"/>
    <n v="25.872093023255815"/>
    <n v="0.55625000000000002"/>
    <s v="Late"/>
    <s v="No Delay"/>
  </r>
  <r>
    <s v="O53"/>
    <s v="11:32"/>
    <x v="0"/>
    <n v="20"/>
    <s v="11:52"/>
    <s v="11:52"/>
    <d v="1899-12-30T11:54:00"/>
    <s v="12:36"/>
    <n v="6.16"/>
    <x v="8"/>
    <n v="185"/>
    <n v="113"/>
    <s v="Delivered"/>
    <n v="12"/>
    <x v="0"/>
    <x v="0"/>
    <s v="Distance"/>
    <n v="64.000000000000014"/>
    <n v="0"/>
    <n v="1.9999999999999929"/>
    <n v="42.000000000000014"/>
    <x v="1"/>
    <s v="Late Morning"/>
    <x v="1"/>
    <n v="0.14666666666666661"/>
    <n v="18.344155844155843"/>
    <n v="0.61081081081081079"/>
    <s v="Late"/>
    <s v="No Delay"/>
  </r>
  <r>
    <s v="O54"/>
    <s v="11:23"/>
    <x v="0"/>
    <n v="13"/>
    <s v="11:36"/>
    <s v="11:39"/>
    <d v="1899-12-30T11:43:00"/>
    <s v="12:31"/>
    <n v="7.58"/>
    <x v="18"/>
    <n v="382"/>
    <n v="128"/>
    <s v="Delivered"/>
    <n v="18"/>
    <x v="0"/>
    <x v="0"/>
    <s v="Distance"/>
    <n v="68.000000000000085"/>
    <n v="2.9999999999999893"/>
    <n v="3.9999999999999858"/>
    <n v="48.000000000000071"/>
    <x v="1"/>
    <s v="Late Morning"/>
    <x v="1"/>
    <n v="0.15791666666666643"/>
    <n v="16.886543535620053"/>
    <n v="0.33507853403141363"/>
    <s v="Late"/>
    <s v="No Delay"/>
  </r>
  <r>
    <s v="O55"/>
    <s v="17:28"/>
    <x v="1"/>
    <n v="40"/>
    <s v="18:08"/>
    <s v="18:17"/>
    <d v="1899-12-30T18:18:00"/>
    <s v="18:49"/>
    <n v="4.0199999999999996"/>
    <x v="2"/>
    <n v="180"/>
    <n v="90"/>
    <s v="Delivered"/>
    <n v="13"/>
    <x v="0"/>
    <x v="0"/>
    <s v="Restaurant Delay"/>
    <n v="81.000000000000028"/>
    <n v="9.0000000000001279"/>
    <n v="0.99999999999999645"/>
    <n v="30.99999999999989"/>
    <x v="2"/>
    <s v="Evening"/>
    <x v="0"/>
    <n v="0.12967741935483915"/>
    <n v="22.388059701492541"/>
    <n v="0.5"/>
    <s v="Late"/>
    <s v="No Delay"/>
  </r>
  <r>
    <s v="O56"/>
    <s v="14:44"/>
    <x v="0"/>
    <n v="18"/>
    <s v="15:02"/>
    <s v="15:02"/>
    <d v="1899-12-30T15:07:00"/>
    <s v="15:33"/>
    <n v="4.7"/>
    <x v="16"/>
    <n v="212"/>
    <n v="93"/>
    <s v="Failed"/>
    <n v="15"/>
    <x v="2"/>
    <x v="1"/>
    <s v="Restaurant Delay"/>
    <n v="49.000000000000142"/>
    <n v="0"/>
    <n v="4.9999999999999822"/>
    <n v="26.000000000000068"/>
    <x v="8"/>
    <s v="Afternoon"/>
    <x v="1"/>
    <n v="0.18076923076923029"/>
    <n v="19.787234042553191"/>
    <n v="0.43867924528301888"/>
    <s v="Late"/>
    <s v="Restaurant Delay"/>
  </r>
  <r>
    <s v="O57"/>
    <s v="13:31"/>
    <x v="0"/>
    <n v="12"/>
    <s v="13:43"/>
    <s v="13:45"/>
    <d v="1899-12-30T13:49:00"/>
    <s v="14:12"/>
    <n v="2.91"/>
    <x v="19"/>
    <n v="264"/>
    <n v="80"/>
    <s v="Delivered"/>
    <n v="16"/>
    <x v="0"/>
    <x v="0"/>
    <s v="None"/>
    <n v="41.000000000000014"/>
    <n v="1.9999999999999929"/>
    <n v="3.9999999999999858"/>
    <n v="23.000000000000078"/>
    <x v="6"/>
    <s v="Afternoon"/>
    <x v="0"/>
    <n v="0.12652173913043435"/>
    <n v="27.491408934707902"/>
    <n v="0.30303030303030304"/>
    <s v="On-Time"/>
    <s v="No Delay"/>
  </r>
  <r>
    <s v="O58"/>
    <s v="19:18"/>
    <x v="0"/>
    <n v="16"/>
    <s v="19:34"/>
    <s v="19:42"/>
    <d v="1899-12-30T19:49:00"/>
    <s v="20:26"/>
    <n v="4.99"/>
    <x v="13"/>
    <n v="357"/>
    <n v="107"/>
    <s v="Delivered"/>
    <n v="8"/>
    <x v="1"/>
    <x v="0"/>
    <s v="Traffic"/>
    <n v="67.999999999999915"/>
    <n v="7.9999999999999716"/>
    <n v="6.9999999999999751"/>
    <n v="37.000000000000028"/>
    <x v="4"/>
    <s v="Peak Night"/>
    <x v="0"/>
    <n v="0.13486486486486476"/>
    <n v="21.442885771543086"/>
    <n v="0.29971988795518206"/>
    <s v="Late"/>
    <s v="No Delay"/>
  </r>
  <r>
    <s v="O59"/>
    <s v="10:24"/>
    <x v="1"/>
    <n v="25"/>
    <s v="10:49"/>
    <s v="10:59"/>
    <d v="1899-12-30T11:00:00"/>
    <s v="11:51"/>
    <n v="7.75"/>
    <x v="14"/>
    <n v="184"/>
    <n v="129"/>
    <s v="Delivered"/>
    <n v="16"/>
    <x v="0"/>
    <x v="0"/>
    <s v="Restaurant Delay"/>
    <n v="86.999999999999929"/>
    <n v="9.9999999999999645"/>
    <n v="0.99999999999999645"/>
    <n v="50.999999999999979"/>
    <x v="9"/>
    <s v="Late Morning"/>
    <x v="1"/>
    <n v="0.15196078431372556"/>
    <n v="16.64516129032258"/>
    <n v="0.70108695652173914"/>
    <s v="Late"/>
    <s v="No Delay"/>
  </r>
  <r>
    <s v="O60"/>
    <s v="18:32"/>
    <x v="0"/>
    <n v="14"/>
    <s v="18:46"/>
    <s v="18:48"/>
    <d v="1899-12-30T18:51:00"/>
    <s v="19:32"/>
    <n v="5.74"/>
    <x v="15"/>
    <n v="333"/>
    <n v="111"/>
    <s v="Failed"/>
    <n v="15"/>
    <x v="0"/>
    <x v="1"/>
    <s v="Restaurant Delay"/>
    <n v="60.000000000000107"/>
    <n v="1.9999999999999929"/>
    <n v="2.9999999999999893"/>
    <n v="41.000000000000171"/>
    <x v="3"/>
    <s v="Peak Night"/>
    <x v="0"/>
    <n v="0.13999999999999943"/>
    <n v="19.337979094076655"/>
    <n v="0.33333333333333331"/>
    <s v="Late"/>
    <s v="Restaurant Delay"/>
  </r>
  <r>
    <s v="O61"/>
    <s v="15:58"/>
    <x v="0"/>
    <n v="16"/>
    <s v="16:14"/>
    <s v="16:17"/>
    <d v="1899-12-30T16:21:00"/>
    <s v="16:57"/>
    <n v="5.78"/>
    <x v="5"/>
    <n v="384"/>
    <n v="107"/>
    <s v="Delivered"/>
    <n v="17"/>
    <x v="2"/>
    <x v="0"/>
    <s v="None"/>
    <n v="58.99999999999995"/>
    <n v="2.9999999999999893"/>
    <n v="3.9999999999999858"/>
    <n v="35.999999999999872"/>
    <x v="7"/>
    <s v="Evening"/>
    <x v="1"/>
    <n v="0.16055555555555615"/>
    <n v="18.512110726643598"/>
    <n v="0.27864583333333331"/>
    <s v="Late"/>
    <s v="No Delay"/>
  </r>
  <r>
    <s v="O62"/>
    <s v="16:31"/>
    <x v="0"/>
    <n v="10"/>
    <s v="16:41"/>
    <s v="16:42"/>
    <d v="1899-12-30T16:43:00"/>
    <s v="17:19"/>
    <n v="5.19"/>
    <x v="8"/>
    <n v="268"/>
    <n v="101"/>
    <s v="Delivered"/>
    <n v="17"/>
    <x v="2"/>
    <x v="0"/>
    <s v="None"/>
    <n v="47.999999999999986"/>
    <n v="0.99999999999999645"/>
    <n v="0.99999999999999645"/>
    <n v="36.000000000000028"/>
    <x v="5"/>
    <s v="Evening"/>
    <x v="1"/>
    <n v="0.14416666666666655"/>
    <n v="19.460500963391134"/>
    <n v="0.37686567164179102"/>
    <s v="Late"/>
    <s v="No Delay"/>
  </r>
  <r>
    <s v="O63"/>
    <s v="18:49"/>
    <x v="0"/>
    <n v="14"/>
    <s v="19:03"/>
    <s v="19:04"/>
    <d v="1899-12-30T19:08:00"/>
    <s v="19:37"/>
    <n v="4.1500000000000004"/>
    <x v="5"/>
    <n v="150"/>
    <n v="92"/>
    <s v="Delivered"/>
    <n v="17"/>
    <x v="0"/>
    <x v="0"/>
    <s v="None"/>
    <n v="47.999999999999986"/>
    <n v="0.99999999999983658"/>
    <n v="3.9999999999999858"/>
    <n v="29.000000000000057"/>
    <x v="3"/>
    <s v="Peak Night"/>
    <x v="0"/>
    <n v="0.1431034482758618"/>
    <n v="22.168674698795179"/>
    <n v="0.61333333333333329"/>
    <s v="Late"/>
    <s v="No Delay"/>
  </r>
  <r>
    <s v="O64"/>
    <s v="19:53"/>
    <x v="0"/>
    <n v="16"/>
    <s v="20:09"/>
    <s v="20:09"/>
    <d v="1899-12-30T20:20:00"/>
    <s v="21:00"/>
    <n v="5.09"/>
    <x v="1"/>
    <n v="340"/>
    <n v="114"/>
    <s v="Delivered"/>
    <n v="10"/>
    <x v="1"/>
    <x v="0"/>
    <s v="Traffic"/>
    <n v="67.000000000000085"/>
    <n v="0"/>
    <n v="10.999999999999961"/>
    <n v="40.000000000000178"/>
    <x v="4"/>
    <s v="Peak Night"/>
    <x v="0"/>
    <n v="0.12724999999999942"/>
    <n v="22.396856581532418"/>
    <n v="0.3352941176470588"/>
    <s v="Late"/>
    <s v="No Delay"/>
  </r>
  <r>
    <s v="O65"/>
    <s v="14:57"/>
    <x v="0"/>
    <n v="16"/>
    <s v="15:13"/>
    <s v="15:16"/>
    <d v="1899-12-30T15:18:00"/>
    <s v="15:38"/>
    <n v="2.09"/>
    <x v="19"/>
    <n v="366"/>
    <n v="70"/>
    <s v="Delivered"/>
    <n v="20"/>
    <x v="2"/>
    <x v="0"/>
    <s v="None"/>
    <n v="41.000000000000014"/>
    <n v="3.0000000000001492"/>
    <n v="1.9999999999999929"/>
    <n v="19.999999999999929"/>
    <x v="8"/>
    <s v="Afternoon"/>
    <x v="1"/>
    <n v="0.10450000000000037"/>
    <n v="33.492822966507177"/>
    <n v="0.19125683060109289"/>
    <s v="On-Time"/>
    <s v="No Delay"/>
  </r>
  <r>
    <s v="O66"/>
    <s v="11:15"/>
    <x v="0"/>
    <n v="19"/>
    <s v="11:34"/>
    <s v="11:37"/>
    <d v="1899-12-30T11:41:00"/>
    <s v="12:27"/>
    <n v="7.39"/>
    <x v="2"/>
    <n v="289"/>
    <n v="125"/>
    <s v="Delivered"/>
    <n v="12"/>
    <x v="0"/>
    <x v="0"/>
    <s v="Distance"/>
    <n v="71.999999999999901"/>
    <n v="2.9999999999999893"/>
    <n v="3.9999999999999858"/>
    <n v="45.999999999999915"/>
    <x v="1"/>
    <s v="Late Morning"/>
    <x v="1"/>
    <n v="0.16065217391304376"/>
    <n v="16.914749661705006"/>
    <n v="0.43252595155709345"/>
    <s v="Late"/>
    <s v="No Delay"/>
  </r>
  <r>
    <s v="O67"/>
    <s v="12:35"/>
    <x v="0"/>
    <n v="14"/>
    <s v="12:49"/>
    <s v="12:49"/>
    <d v="1899-12-30T12:51:00"/>
    <s v="13:23"/>
    <n v="4.2699999999999996"/>
    <x v="11"/>
    <n v="175"/>
    <n v="93"/>
    <s v="Delivered"/>
    <n v="15"/>
    <x v="0"/>
    <x v="0"/>
    <s v="None"/>
    <n v="47.999999999999986"/>
    <n v="0"/>
    <n v="1.9999999999999929"/>
    <n v="32.000000000000043"/>
    <x v="0"/>
    <s v="Afternoon"/>
    <x v="0"/>
    <n v="0.13343749999999982"/>
    <n v="21.779859484777521"/>
    <n v="0.53142857142857147"/>
    <s v="Late"/>
    <s v="No Delay"/>
  </r>
  <r>
    <s v="O68"/>
    <s v="17:12"/>
    <x v="1"/>
    <n v="27"/>
    <s v="17:39"/>
    <s v="17:48"/>
    <d v="1899-12-30T17:52:00"/>
    <s v="18:08"/>
    <n v="1.1399999999999999"/>
    <x v="14"/>
    <n v="191"/>
    <n v="64"/>
    <s v="Delivered"/>
    <n v="17"/>
    <x v="0"/>
    <x v="0"/>
    <s v="Restaurant Delay"/>
    <n v="55.999999999999957"/>
    <n v="9.0000000000001279"/>
    <n v="3.9999999999999858"/>
    <n v="15.999999999999943"/>
    <x v="2"/>
    <s v="Evening"/>
    <x v="0"/>
    <n v="7.1250000000000244E-2"/>
    <n v="56.140350877192986"/>
    <n v="0.33507853403141363"/>
    <s v="Late"/>
    <s v="No Delay"/>
  </r>
  <r>
    <s v="O69"/>
    <s v="16:51"/>
    <x v="0"/>
    <n v="14"/>
    <s v="17:05"/>
    <s v="17:06"/>
    <d v="1899-12-30T17:07:00"/>
    <s v="17:27"/>
    <n v="2.46"/>
    <x v="16"/>
    <n v="235"/>
    <n v="71"/>
    <s v="Delivered"/>
    <n v="19"/>
    <x v="2"/>
    <x v="0"/>
    <s v="None"/>
    <n v="35.999999999999872"/>
    <n v="1.0000000000001563"/>
    <n v="0.99999999999999645"/>
    <n v="19.999999999999929"/>
    <x v="5"/>
    <s v="Evening"/>
    <x v="1"/>
    <n v="0.12300000000000043"/>
    <n v="28.86178861788618"/>
    <n v="0.30212765957446808"/>
    <s v="On-Time"/>
    <s v="No Delay"/>
  </r>
  <r>
    <s v="O70"/>
    <s v="11:10"/>
    <x v="1"/>
    <n v="36"/>
    <s v="11:46"/>
    <s v="11:51"/>
    <d v="1899-12-30T11:52:00"/>
    <s v="12:31"/>
    <n v="4.9000000000000004"/>
    <x v="7"/>
    <n v="317"/>
    <n v="103"/>
    <s v="Delivered"/>
    <n v="15"/>
    <x v="0"/>
    <x v="0"/>
    <s v="Restaurant Delay"/>
    <n v="81.000000000000114"/>
    <n v="4.9999999999999023"/>
    <n v="0.99999999999999645"/>
    <n v="39.000000000000099"/>
    <x v="1"/>
    <s v="Late Morning"/>
    <x v="1"/>
    <n v="0.12564102564102533"/>
    <n v="21.020408163265305"/>
    <n v="0.32492113564668768"/>
    <s v="Late"/>
    <s v="No Delay"/>
  </r>
  <r>
    <s v="O71"/>
    <s v="14:36"/>
    <x v="0"/>
    <n v="13"/>
    <s v="14:49"/>
    <s v="14:52"/>
    <d v="1899-12-30T14:57:00"/>
    <s v="15:22"/>
    <n v="3.8"/>
    <x v="8"/>
    <n v="371"/>
    <n v="87"/>
    <s v="Delivered"/>
    <n v="18"/>
    <x v="2"/>
    <x v="0"/>
    <s v="None"/>
    <n v="46.000000000000156"/>
    <n v="2.9999999999999893"/>
    <n v="4.9999999999999822"/>
    <n v="25.000000000000071"/>
    <x v="8"/>
    <s v="Afternoon"/>
    <x v="1"/>
    <n v="0.15199999999999955"/>
    <n v="22.894736842105264"/>
    <n v="0.23450134770889489"/>
    <s v="Late"/>
    <s v="No Delay"/>
  </r>
  <r>
    <s v="O72"/>
    <s v="15:37"/>
    <x v="0"/>
    <n v="14"/>
    <s v="15:51"/>
    <s v="15:51"/>
    <d v="1899-12-30T15:56:00"/>
    <s v="16:16"/>
    <n v="2.71"/>
    <x v="8"/>
    <n v="372"/>
    <n v="77"/>
    <s v="Delivered"/>
    <n v="19"/>
    <x v="2"/>
    <x v="0"/>
    <s v="None"/>
    <n v="38.999999999999858"/>
    <n v="0"/>
    <n v="4.9999999999999822"/>
    <n v="19.999999999999929"/>
    <x v="7"/>
    <s v="Evening"/>
    <x v="1"/>
    <n v="0.13550000000000048"/>
    <n v="28.41328413284133"/>
    <n v="0.20698924731182797"/>
    <s v="On-Time"/>
    <s v="No Delay"/>
  </r>
  <r>
    <s v="O73"/>
    <s v="16:52"/>
    <x v="0"/>
    <n v="16"/>
    <s v="17:08"/>
    <s v="17:09"/>
    <d v="1899-12-30T17:14:00"/>
    <s v="17:29"/>
    <n v="2.33"/>
    <x v="15"/>
    <n v="298"/>
    <n v="70"/>
    <s v="Delivered"/>
    <n v="16"/>
    <x v="2"/>
    <x v="0"/>
    <s v="None"/>
    <n v="37.000000000000028"/>
    <n v="0.99999999999983658"/>
    <n v="4.9999999999999822"/>
    <n v="15.000000000000266"/>
    <x v="5"/>
    <s v="Evening"/>
    <x v="1"/>
    <n v="0.15533333333333058"/>
    <n v="30.04291845493562"/>
    <n v="0.2348993288590604"/>
    <s v="On-Time"/>
    <s v="No Delay"/>
  </r>
  <r>
    <s v="O74"/>
    <s v="19:55"/>
    <x v="0"/>
    <n v="12"/>
    <s v="20:07"/>
    <s v="20:08"/>
    <d v="1899-12-30T20:18:00"/>
    <s v="20:50"/>
    <n v="4.22"/>
    <x v="15"/>
    <n v="185"/>
    <n v="101"/>
    <s v="Delivered"/>
    <n v="12"/>
    <x v="1"/>
    <x v="0"/>
    <s v="Traffic"/>
    <n v="54.999999999999801"/>
    <n v="0.99999999999999645"/>
    <n v="9.9999999999999645"/>
    <n v="31.999999999999886"/>
    <x v="4"/>
    <s v="Peak Night"/>
    <x v="0"/>
    <n v="0.13187500000000046"/>
    <n v="23.933649289099527"/>
    <n v="0.54594594594594592"/>
    <s v="Late"/>
    <s v="No Delay"/>
  </r>
  <r>
    <s v="O75"/>
    <s v="16:09"/>
    <x v="0"/>
    <n v="16"/>
    <s v="16:25"/>
    <s v="16:27"/>
    <d v="1899-12-30T16:33:00"/>
    <s v="17:04"/>
    <n v="6.03"/>
    <x v="18"/>
    <n v="251"/>
    <n v="105"/>
    <s v="Failed"/>
    <n v="16"/>
    <x v="2"/>
    <x v="1"/>
    <s v="Restaurant Delay"/>
    <n v="55.000000000000128"/>
    <n v="1.9999999999999929"/>
    <n v="5.9999999999999787"/>
    <n v="31.00000000000005"/>
    <x v="5"/>
    <s v="Evening"/>
    <x v="1"/>
    <n v="0.19451612903225776"/>
    <n v="17.412935323383085"/>
    <n v="0.41832669322709165"/>
    <s v="Late"/>
    <s v="Restaurant Delay"/>
  </r>
  <r>
    <s v="O76"/>
    <s v="18:24"/>
    <x v="0"/>
    <n v="12"/>
    <s v="18:36"/>
    <s v="18:36"/>
    <d v="1899-12-30T18:39:00"/>
    <s v="19:21"/>
    <n v="6.67"/>
    <x v="10"/>
    <n v="205"/>
    <n v="116"/>
    <s v="Delivered"/>
    <n v="12"/>
    <x v="0"/>
    <x v="0"/>
    <s v="Distance"/>
    <n v="57.000000000000114"/>
    <n v="0"/>
    <n v="2.9999999999999893"/>
    <n v="42.000000000000014"/>
    <x v="3"/>
    <s v="Peak Night"/>
    <x v="0"/>
    <n v="0.15880952380952376"/>
    <n v="17.391304347826086"/>
    <n v="0.56585365853658531"/>
    <s v="Late"/>
    <s v="No Delay"/>
  </r>
  <r>
    <s v="O77"/>
    <s v="18:26"/>
    <x v="0"/>
    <n v="19"/>
    <s v="18:45"/>
    <s v="18:47"/>
    <d v="1899-12-30T18:48:00"/>
    <s v="19:29"/>
    <n v="5.64"/>
    <x v="19"/>
    <n v="327"/>
    <n v="108"/>
    <s v="Delivered"/>
    <n v="15"/>
    <x v="0"/>
    <x v="0"/>
    <s v="None"/>
    <n v="62.999999999999936"/>
    <n v="2.0000000000001528"/>
    <n v="0.99999999999999645"/>
    <n v="40.999999999999858"/>
    <x v="3"/>
    <s v="Peak Night"/>
    <x v="0"/>
    <n v="0.13756097560975655"/>
    <n v="19.148936170212767"/>
    <n v="0.33027522935779818"/>
    <s v="Late"/>
    <s v="No Delay"/>
  </r>
  <r>
    <s v="O78"/>
    <s v="11:37"/>
    <x v="0"/>
    <n v="13"/>
    <s v="11:50"/>
    <s v="11:51"/>
    <d v="1899-12-30T11:55:00"/>
    <s v="12:24"/>
    <n v="3.65"/>
    <x v="2"/>
    <n v="210"/>
    <n v="89"/>
    <s v="Delivered"/>
    <n v="15"/>
    <x v="0"/>
    <x v="0"/>
    <s v="None"/>
    <n v="47.000000000000071"/>
    <n v="0.99999999999991651"/>
    <n v="3.9999999999999858"/>
    <n v="29.000000000000135"/>
    <x v="1"/>
    <s v="Late Morning"/>
    <x v="1"/>
    <n v="0.12586206896551666"/>
    <n v="24.383561643835616"/>
    <n v="0.4238095238095238"/>
    <s v="Late"/>
    <s v="No Delay"/>
  </r>
  <r>
    <s v="O79"/>
    <s v="17:53"/>
    <x v="0"/>
    <n v="16"/>
    <s v="18:09"/>
    <s v="18:11"/>
    <d v="1899-12-30T18:16:00"/>
    <s v="18:56"/>
    <n v="6"/>
    <x v="0"/>
    <n v="178"/>
    <n v="113"/>
    <s v="Delivered"/>
    <n v="13"/>
    <x v="0"/>
    <x v="0"/>
    <s v="Distance"/>
    <n v="62.999999999999936"/>
    <n v="1.9999999999999929"/>
    <n v="4.9999999999999822"/>
    <n v="40.000000000000014"/>
    <x v="2"/>
    <s v="Evening"/>
    <x v="0"/>
    <n v="0.14999999999999994"/>
    <n v="18.833333333333332"/>
    <n v="0.6348314606741573"/>
    <s v="Late"/>
    <s v="No Delay"/>
  </r>
  <r>
    <s v="O80"/>
    <s v="11:20"/>
    <x v="1"/>
    <n v="25"/>
    <s v="11:45"/>
    <s v="11:53"/>
    <d v="1899-12-30T11:56:00"/>
    <s v="12:24"/>
    <n v="3.24"/>
    <x v="0"/>
    <n v="223"/>
    <n v="85"/>
    <s v="Delivered"/>
    <n v="18"/>
    <x v="0"/>
    <x v="0"/>
    <s v="Restaurant Delay"/>
    <n v="64.000000000000014"/>
    <n v="7.9999999999999716"/>
    <n v="2.9999999999999893"/>
    <n v="28.000000000000142"/>
    <x v="1"/>
    <s v="Late Morning"/>
    <x v="1"/>
    <n v="0.11571428571428513"/>
    <n v="26.234567901234566"/>
    <n v="0.3811659192825112"/>
    <s v="Late"/>
    <s v="No Delay"/>
  </r>
  <r>
    <s v="O81"/>
    <s v="16:49"/>
    <x v="0"/>
    <n v="20"/>
    <s v="17:09"/>
    <s v="17:10"/>
    <d v="1899-12-30T17:14:00"/>
    <s v="17:22"/>
    <n v="1.1100000000000001"/>
    <x v="10"/>
    <n v="288"/>
    <n v="56"/>
    <s v="Delivered"/>
    <n v="16"/>
    <x v="2"/>
    <x v="0"/>
    <s v="None"/>
    <n v="33.000000000000043"/>
    <n v="1.0000000000001563"/>
    <n v="3.9999999999999858"/>
    <n v="7.9999999999999716"/>
    <x v="5"/>
    <s v="Evening"/>
    <x v="1"/>
    <n v="0.13875000000000051"/>
    <n v="50.450450450450447"/>
    <n v="0.19444444444444445"/>
    <s v="On-Time"/>
    <s v="No Delay"/>
  </r>
  <r>
    <s v="O82"/>
    <s v="19:38"/>
    <x v="0"/>
    <n v="12"/>
    <s v="19:50"/>
    <s v="19:57"/>
    <d v="1899-12-30T20:05:00"/>
    <s v="20:48"/>
    <n v="5.57"/>
    <x v="7"/>
    <n v="159"/>
    <n v="117"/>
    <s v="Delivered"/>
    <n v="8"/>
    <x v="1"/>
    <x v="0"/>
    <s v="Traffic"/>
    <n v="70.000000000000071"/>
    <n v="6.9999999999999751"/>
    <n v="7.9999999999999716"/>
    <n v="43.000000000000171"/>
    <x v="4"/>
    <s v="Peak Night"/>
    <x v="0"/>
    <n v="0.12953488372092972"/>
    <n v="21.005385996409334"/>
    <n v="0.73584905660377353"/>
    <s v="Late"/>
    <s v="No Delay"/>
  </r>
  <r>
    <s v="O83"/>
    <s v="11:02"/>
    <x v="0"/>
    <n v="12"/>
    <s v="11:14"/>
    <s v="11:17"/>
    <d v="1899-12-30T11:20:00"/>
    <s v="12:03"/>
    <n v="6.47"/>
    <x v="3"/>
    <n v="157"/>
    <n v="116"/>
    <s v="Delivered"/>
    <n v="12"/>
    <x v="0"/>
    <x v="0"/>
    <s v="Distance"/>
    <n v="61.000000000000021"/>
    <n v="3.0000000000000693"/>
    <n v="2.9999999999999893"/>
    <n v="43.000000000000007"/>
    <x v="1"/>
    <s v="Late Morning"/>
    <x v="1"/>
    <n v="0.15046511627906975"/>
    <n v="17.928902627511594"/>
    <n v="0.73885350318471332"/>
    <s v="Late"/>
    <s v="No Delay"/>
  </r>
  <r>
    <s v="O84"/>
    <s v="12:13"/>
    <x v="0"/>
    <n v="20"/>
    <s v="12:33"/>
    <s v="12:36"/>
    <d v="1899-12-30T12:38:00"/>
    <s v="13:17"/>
    <n v="5.64"/>
    <x v="16"/>
    <n v="218"/>
    <n v="107"/>
    <s v="Delivered"/>
    <n v="18"/>
    <x v="0"/>
    <x v="0"/>
    <s v="None"/>
    <n v="64.000000000000085"/>
    <n v="2.9999999999999893"/>
    <n v="1.9999999999999929"/>
    <n v="39.000000000000021"/>
    <x v="0"/>
    <s v="Afternoon"/>
    <x v="0"/>
    <n v="0.14461538461538453"/>
    <n v="18.971631205673759"/>
    <n v="0.49082568807339449"/>
    <s v="Late"/>
    <s v="No Delay"/>
  </r>
  <r>
    <s v="O85"/>
    <s v="14:08"/>
    <x v="0"/>
    <n v="19"/>
    <s v="14:27"/>
    <s v="14:27"/>
    <d v="1899-12-30T14:29:00"/>
    <s v="14:52"/>
    <n v="3.45"/>
    <x v="12"/>
    <n v="290"/>
    <n v="80"/>
    <s v="Delivered"/>
    <n v="19"/>
    <x v="2"/>
    <x v="0"/>
    <s v="None"/>
    <n v="44"/>
    <n v="0"/>
    <n v="1.9999999999999929"/>
    <n v="23.000000000000078"/>
    <x v="8"/>
    <s v="Afternoon"/>
    <x v="1"/>
    <n v="0.14999999999999949"/>
    <n v="23.188405797101449"/>
    <n v="0.27586206896551724"/>
    <s v="On-Time"/>
    <s v="No Delay"/>
  </r>
  <r>
    <s v="O86"/>
    <s v="19:11"/>
    <x v="0"/>
    <n v="18"/>
    <s v="19:29"/>
    <s v="19:31"/>
    <d v="1899-12-30T19:37:00"/>
    <s v="20:05"/>
    <n v="1.49"/>
    <x v="14"/>
    <n v="334"/>
    <n v="79"/>
    <s v="Delivered"/>
    <n v="11"/>
    <x v="1"/>
    <x v="0"/>
    <s v="Traffic"/>
    <n v="53.999999999999808"/>
    <n v="1.9999999999999929"/>
    <n v="5.9999999999999787"/>
    <n v="27.999999999999901"/>
    <x v="4"/>
    <s v="Peak Night"/>
    <x v="0"/>
    <n v="5.3214285714285901E-2"/>
    <n v="53.020134228187921"/>
    <n v="0.23652694610778444"/>
    <s v="Late"/>
    <s v="No Delay"/>
  </r>
  <r>
    <s v="O87"/>
    <s v="14:17"/>
    <x v="0"/>
    <n v="11"/>
    <s v="14:28"/>
    <s v="14:31"/>
    <d v="1899-12-30T14:35:00"/>
    <s v="15:15"/>
    <n v="7.43"/>
    <x v="14"/>
    <n v="163"/>
    <n v="119"/>
    <s v="Delivered"/>
    <n v="16"/>
    <x v="2"/>
    <x v="0"/>
    <s v="Distance"/>
    <n v="57.999999999999957"/>
    <n v="3.0000000000001492"/>
    <n v="3.9999999999999858"/>
    <n v="39.999999999999858"/>
    <x v="8"/>
    <s v="Afternoon"/>
    <x v="1"/>
    <n v="0.18575000000000066"/>
    <n v="16.01615074024226"/>
    <n v="0.73006134969325154"/>
    <s v="Late"/>
    <s v="No Delay"/>
  </r>
  <r>
    <s v="O88"/>
    <s v="18:45"/>
    <x v="0"/>
    <n v="15"/>
    <s v="19:00"/>
    <s v="19:00"/>
    <d v="1899-12-30T19:01:00"/>
    <s v="19:20"/>
    <n v="1.28"/>
    <x v="5"/>
    <n v="182"/>
    <n v="64"/>
    <s v="Delivered"/>
    <n v="12"/>
    <x v="0"/>
    <x v="0"/>
    <s v="None"/>
    <n v="34.999999999999872"/>
    <n v="0"/>
    <n v="0.99999999999999645"/>
    <n v="18.999999999999932"/>
    <x v="3"/>
    <s v="Peak Night"/>
    <x v="0"/>
    <n v="6.7368421052631813E-2"/>
    <n v="50"/>
    <n v="0.35164835164835168"/>
    <s v="On-Time"/>
    <s v="No Delay"/>
  </r>
  <r>
    <s v="O89"/>
    <s v="17:36"/>
    <x v="1"/>
    <n v="33"/>
    <s v="18:09"/>
    <s v="18:14"/>
    <d v="1899-12-30T18:15:00"/>
    <s v="19:01"/>
    <n v="6.6"/>
    <x v="5"/>
    <n v="370"/>
    <n v="118"/>
    <s v="Delivered"/>
    <n v="12"/>
    <x v="0"/>
    <x v="0"/>
    <s v="Restaurant Delay"/>
    <n v="84.999999999999858"/>
    <n v="5.0000000000001421"/>
    <n v="0.99999999999999645"/>
    <n v="45.999999999999837"/>
    <x v="2"/>
    <s v="Evening"/>
    <x v="0"/>
    <n v="0.14347826086956572"/>
    <n v="17.878787878787879"/>
    <n v="0.31891891891891894"/>
    <s v="Late"/>
    <s v="No Delay"/>
  </r>
  <r>
    <s v="O90"/>
    <s v="10:59"/>
    <x v="0"/>
    <n v="15"/>
    <s v="11:14"/>
    <s v="11:17"/>
    <d v="1899-12-30T11:18:00"/>
    <s v="11:44"/>
    <n v="2.82"/>
    <x v="2"/>
    <n v="369"/>
    <n v="79"/>
    <s v="Delivered"/>
    <n v="17"/>
    <x v="0"/>
    <x v="0"/>
    <s v="None"/>
    <n v="45"/>
    <n v="3.0000000000000693"/>
    <n v="0.99999999999999645"/>
    <n v="25.999999999999986"/>
    <x v="9"/>
    <s v="Late Morning"/>
    <x v="1"/>
    <n v="0.10846153846153851"/>
    <n v="28.014184397163124"/>
    <n v="0.21409214092140921"/>
    <s v="On-Time"/>
    <s v="No Delay"/>
  </r>
  <r>
    <s v="O91"/>
    <s v="11:36"/>
    <x v="0"/>
    <n v="13"/>
    <s v="11:49"/>
    <s v="11:51"/>
    <d v="1899-12-30T11:53:00"/>
    <s v="12:19"/>
    <n v="2.44"/>
    <x v="11"/>
    <n v="250"/>
    <n v="78"/>
    <s v="Delivered"/>
    <n v="16"/>
    <x v="0"/>
    <x v="0"/>
    <s v="None"/>
    <n v="42.999999999999929"/>
    <n v="1.9999999999999929"/>
    <n v="1.9999999999999929"/>
    <n v="25.999999999999986"/>
    <x v="1"/>
    <s v="Late Morning"/>
    <x v="1"/>
    <n v="9.3846153846153899E-2"/>
    <n v="31.967213114754099"/>
    <n v="0.312"/>
    <s v="On-Time"/>
    <s v="No Delay"/>
  </r>
  <r>
    <s v="O92"/>
    <s v="18:12"/>
    <x v="1"/>
    <n v="39"/>
    <s v="18:51"/>
    <s v="19:00"/>
    <d v="1899-12-30T19:05:00"/>
    <s v="19:46"/>
    <n v="6.04"/>
    <x v="17"/>
    <n v="287"/>
    <n v="114"/>
    <s v="Delivered"/>
    <n v="16"/>
    <x v="0"/>
    <x v="0"/>
    <s v="Restaurant Delay"/>
    <n v="93.999999999999986"/>
    <n v="8.9999999999998082"/>
    <n v="4.9999999999999822"/>
    <n v="41.000000000000014"/>
    <x v="3"/>
    <s v="Peak Night"/>
    <x v="0"/>
    <n v="0.14731707317073164"/>
    <n v="18.874172185430464"/>
    <n v="0.39721254355400698"/>
    <s v="Late"/>
    <s v="No Delay"/>
  </r>
  <r>
    <s v="O93"/>
    <s v="14:58"/>
    <x v="0"/>
    <n v="13"/>
    <s v="15:11"/>
    <s v="15:11"/>
    <d v="1899-12-30T15:15:00"/>
    <s v="15:44"/>
    <n v="4.6500000000000004"/>
    <x v="11"/>
    <n v="182"/>
    <n v="94"/>
    <s v="Delivered"/>
    <n v="17"/>
    <x v="2"/>
    <x v="0"/>
    <s v="None"/>
    <n v="46"/>
    <n v="0"/>
    <n v="3.9999999999999858"/>
    <n v="29.000000000000057"/>
    <x v="8"/>
    <s v="Afternoon"/>
    <x v="1"/>
    <n v="0.16034482758620661"/>
    <n v="20.21505376344086"/>
    <n v="0.51648351648351654"/>
    <s v="Late"/>
    <s v="No Delay"/>
  </r>
  <r>
    <s v="O94"/>
    <s v="11:06"/>
    <x v="1"/>
    <n v="35"/>
    <s v="11:41"/>
    <s v="11:48"/>
    <d v="1899-12-30T11:50:00"/>
    <s v="12:18"/>
    <n v="3.23"/>
    <x v="6"/>
    <n v="341"/>
    <n v="84"/>
    <s v="Delivered"/>
    <n v="15"/>
    <x v="0"/>
    <x v="0"/>
    <s v="Restaurant Delay"/>
    <n v="72.000000000000142"/>
    <n v="7.0000000000000551"/>
    <n v="1.9999999999999929"/>
    <n v="28.00000000000006"/>
    <x v="1"/>
    <s v="Late Morning"/>
    <x v="1"/>
    <n v="0.1153571428571426"/>
    <n v="26.006191950464398"/>
    <n v="0.24633431085043989"/>
    <s v="Late"/>
    <s v="No Delay"/>
  </r>
  <r>
    <s v="O95"/>
    <s v="18:33"/>
    <x v="1"/>
    <n v="28"/>
    <s v="19:01"/>
    <s v="19:08"/>
    <d v="1899-12-30T19:12:00"/>
    <s v="19:59"/>
    <n v="7.4"/>
    <x v="14"/>
    <n v="296"/>
    <n v="126"/>
    <s v="Delivered"/>
    <n v="13"/>
    <x v="0"/>
    <x v="0"/>
    <s v="Restaurant Delay"/>
    <n v="86.000000000000014"/>
    <n v="6.9999999999999751"/>
    <n v="3.9999999999999858"/>
    <n v="47.000000000000156"/>
    <x v="3"/>
    <s v="Peak Night"/>
    <x v="0"/>
    <n v="0.15744680851063778"/>
    <n v="17.027027027027025"/>
    <n v="0.42567567567567566"/>
    <s v="Late"/>
    <s v="No Delay"/>
  </r>
  <r>
    <s v="O96"/>
    <s v="17:42"/>
    <x v="0"/>
    <n v="17"/>
    <s v="17:59"/>
    <s v="18:02"/>
    <d v="1899-12-30T18:03:00"/>
    <s v="18:53"/>
    <n v="7.49"/>
    <x v="14"/>
    <n v="386"/>
    <n v="126"/>
    <s v="Delivered"/>
    <n v="15"/>
    <x v="0"/>
    <x v="0"/>
    <s v="Distance"/>
    <n v="71.000000000000071"/>
    <n v="3.0000000000001492"/>
    <n v="0.99999999999999645"/>
    <n v="49.999999999999822"/>
    <x v="2"/>
    <s v="Evening"/>
    <x v="0"/>
    <n v="0.14980000000000054"/>
    <n v="16.822429906542055"/>
    <n v="0.32642487046632124"/>
    <s v="Late"/>
    <s v="No Delay"/>
  </r>
  <r>
    <s v="O97"/>
    <s v="19:52"/>
    <x v="0"/>
    <n v="12"/>
    <s v="20:04"/>
    <s v="20:11"/>
    <d v="1899-12-30T20:22:00"/>
    <s v="20:58"/>
    <n v="4.45"/>
    <x v="11"/>
    <n v="329"/>
    <n v="107"/>
    <s v="Delivered"/>
    <n v="8"/>
    <x v="1"/>
    <x v="0"/>
    <s v="Traffic"/>
    <n v="65.999999999999773"/>
    <n v="6.9999999999999751"/>
    <n v="10.999999999999961"/>
    <n v="35.999999999999872"/>
    <x v="4"/>
    <s v="Peak Night"/>
    <x v="0"/>
    <n v="0.12361111111111156"/>
    <n v="24.044943820224717"/>
    <n v="0.32522796352583588"/>
    <s v="Late"/>
    <s v="No Delay"/>
  </r>
  <r>
    <s v="O98"/>
    <s v="15:46"/>
    <x v="0"/>
    <n v="20"/>
    <s v="16:06"/>
    <s v="16:08"/>
    <d v="1899-12-30T16:09:00"/>
    <s v="16:33"/>
    <n v="3.15"/>
    <x v="17"/>
    <n v="192"/>
    <n v="79"/>
    <s v="Delivered"/>
    <n v="17"/>
    <x v="2"/>
    <x v="0"/>
    <s v="None"/>
    <n v="46.999999999999993"/>
    <n v="1.999999999999833"/>
    <n v="0.99999999999999645"/>
    <n v="24.000000000000075"/>
    <x v="7"/>
    <s v="Evening"/>
    <x v="1"/>
    <n v="0.13124999999999959"/>
    <n v="25.079365079365079"/>
    <n v="0.41145833333333331"/>
    <s v="Late"/>
    <s v="No Delay"/>
  </r>
  <r>
    <s v="O99"/>
    <s v="12:31"/>
    <x v="0"/>
    <n v="13"/>
    <s v="12:44"/>
    <s v="12:45"/>
    <d v="1899-12-30T12:51:00"/>
    <s v="13:34"/>
    <n v="7.35"/>
    <x v="8"/>
    <n v="390"/>
    <n v="124"/>
    <s v="Delivered"/>
    <n v="16"/>
    <x v="0"/>
    <x v="0"/>
    <s v="Distance"/>
    <n v="62.999999999999936"/>
    <n v="0.99999999999999645"/>
    <n v="5.9999999999999787"/>
    <n v="43.000000000000007"/>
    <x v="0"/>
    <s v="Afternoon"/>
    <x v="0"/>
    <n v="0.17093023255813949"/>
    <n v="16.870748299319729"/>
    <n v="0.31794871794871793"/>
    <s v="Late"/>
    <s v="No Delay"/>
  </r>
  <r>
    <s v="O100"/>
    <s v="10:51"/>
    <x v="0"/>
    <n v="18"/>
    <s v="11:09"/>
    <s v="11:10"/>
    <d v="1899-12-30T11:11:00"/>
    <s v="11:54"/>
    <n v="6"/>
    <x v="11"/>
    <n v="311"/>
    <n v="112"/>
    <s v="Delivered"/>
    <n v="17"/>
    <x v="0"/>
    <x v="0"/>
    <s v="Distance"/>
    <n v="63.000000000000014"/>
    <n v="0.99999999999991651"/>
    <n v="0.99999999999999645"/>
    <n v="43.000000000000085"/>
    <x v="9"/>
    <s v="Late Morning"/>
    <x v="1"/>
    <n v="0.13953488372092995"/>
    <n v="18.666666666666668"/>
    <n v="0.36012861736334406"/>
    <s v="Late"/>
    <s v="No Delay"/>
  </r>
  <r>
    <s v="O101"/>
    <s v="18:59"/>
    <x v="0"/>
    <n v="11"/>
    <s v="19:10"/>
    <s v="19:11"/>
    <d v="1899-12-30T19:13:00"/>
    <s v="19:51"/>
    <n v="5.5"/>
    <x v="17"/>
    <n v="260"/>
    <n v="106"/>
    <s v="Delivered"/>
    <n v="18"/>
    <x v="0"/>
    <x v="0"/>
    <s v="None"/>
    <n v="51.999999999999972"/>
    <n v="0.99999999999999645"/>
    <n v="1.9999999999999929"/>
    <n v="38.000000000000028"/>
    <x v="3"/>
    <s v="Peak Night"/>
    <x v="0"/>
    <n v="0.14473684210526305"/>
    <n v="19.272727272727273"/>
    <n v="0.40769230769230769"/>
    <s v="Late"/>
    <s v="No Delay"/>
  </r>
  <r>
    <s v="O102"/>
    <s v="16:16"/>
    <x v="0"/>
    <n v="17"/>
    <s v="16:33"/>
    <s v="16:34"/>
    <d v="1899-12-30T16:36:00"/>
    <s v="16:55"/>
    <n v="2.54"/>
    <x v="1"/>
    <n v="371"/>
    <n v="72"/>
    <s v="Delivered"/>
    <n v="20"/>
    <x v="2"/>
    <x v="0"/>
    <s v="None"/>
    <n v="39.000000000000185"/>
    <n v="0.99999999999999645"/>
    <n v="1.9999999999999929"/>
    <n v="19.000000000000092"/>
    <x v="5"/>
    <s v="Evening"/>
    <x v="1"/>
    <n v="0.13368421052631513"/>
    <n v="28.346456692913385"/>
    <n v="0.19407008086253369"/>
    <s v="On-Time"/>
    <s v="No Delay"/>
  </r>
  <r>
    <s v="O103"/>
    <s v="17:15"/>
    <x v="0"/>
    <n v="15"/>
    <s v="17:30"/>
    <s v="17:30"/>
    <d v="1899-12-30T17:35:00"/>
    <s v="18:15"/>
    <n v="6.59"/>
    <x v="16"/>
    <n v="399"/>
    <n v="116"/>
    <s v="Delivered"/>
    <n v="16"/>
    <x v="0"/>
    <x v="0"/>
    <s v="Distance"/>
    <n v="59.999999999999943"/>
    <n v="0"/>
    <n v="4.9999999999999822"/>
    <n v="40.000000000000014"/>
    <x v="2"/>
    <s v="Evening"/>
    <x v="0"/>
    <n v="0.16474999999999992"/>
    <n v="17.602427921092566"/>
    <n v="0.2907268170426065"/>
    <s v="Late"/>
    <s v="No Delay"/>
  </r>
  <r>
    <s v="O104"/>
    <s v="16:57"/>
    <x v="0"/>
    <n v="18"/>
    <s v="17:15"/>
    <s v="17:15"/>
    <d v="1899-12-30T17:16:00"/>
    <s v="18:01"/>
    <n v="7.13"/>
    <x v="6"/>
    <n v="375"/>
    <n v="120"/>
    <s v="Delivered"/>
    <n v="18"/>
    <x v="2"/>
    <x v="0"/>
    <s v="Distance"/>
    <n v="64.000000000000085"/>
    <n v="0"/>
    <n v="0.99999999999999645"/>
    <n v="45"/>
    <x v="5"/>
    <s v="Evening"/>
    <x v="1"/>
    <n v="0.15844444444444444"/>
    <n v="16.830294530154276"/>
    <n v="0.32"/>
    <s v="Late"/>
    <s v="No Delay"/>
  </r>
  <r>
    <s v="O105"/>
    <s v="19:52"/>
    <x v="0"/>
    <n v="10"/>
    <s v="20:02"/>
    <s v="20:04"/>
    <d v="1899-12-30T20:12:00"/>
    <s v="20:33"/>
    <n v="1.04"/>
    <x v="17"/>
    <n v="314"/>
    <n v="72"/>
    <s v="Delivered"/>
    <n v="10"/>
    <x v="1"/>
    <x v="0"/>
    <s v="Traffic"/>
    <n v="41.000000000000014"/>
    <n v="1.9999999999999929"/>
    <n v="7.9999999999999716"/>
    <n v="21.000000000000085"/>
    <x v="4"/>
    <s v="Peak Night"/>
    <x v="0"/>
    <n v="4.9523809523809324E-2"/>
    <n v="69.230769230769226"/>
    <n v="0.22929936305732485"/>
    <s v="On-Time"/>
    <s v="No Delay"/>
  </r>
  <r>
    <s v="O106"/>
    <s v="19:13"/>
    <x v="1"/>
    <n v="34"/>
    <s v="19:47"/>
    <s v="19:56"/>
    <d v="1899-12-30T20:03:00"/>
    <s v="20:57"/>
    <n v="7.8"/>
    <x v="2"/>
    <n v="291"/>
    <n v="138"/>
    <s v="Delivered"/>
    <n v="12"/>
    <x v="1"/>
    <x v="0"/>
    <s v="Traffic"/>
    <n v="104.00000000000011"/>
    <n v="8.999999999999968"/>
    <n v="6.9999999999999751"/>
    <n v="53.999999999999972"/>
    <x v="4"/>
    <s v="Peak Night"/>
    <x v="0"/>
    <n v="0.14444444444444451"/>
    <n v="17.692307692307693"/>
    <n v="0.47422680412371132"/>
    <s v="Late"/>
    <s v="No Delay"/>
  </r>
  <r>
    <s v="O107"/>
    <s v="18:58"/>
    <x v="0"/>
    <n v="18"/>
    <s v="19:16"/>
    <s v="19:18"/>
    <d v="1899-12-30T19:20:00"/>
    <s v="20:01"/>
    <n v="5.41"/>
    <x v="6"/>
    <n v="183"/>
    <n v="108"/>
    <s v="Delivered"/>
    <n v="15"/>
    <x v="0"/>
    <x v="0"/>
    <s v="None"/>
    <n v="62.999999999999936"/>
    <n v="2.0000000000001528"/>
    <n v="1.9999999999999929"/>
    <n v="40.999999999999858"/>
    <x v="3"/>
    <s v="Peak Night"/>
    <x v="0"/>
    <n v="0.13195121951219557"/>
    <n v="19.963031423290204"/>
    <n v="0.5901639344262295"/>
    <s v="Late"/>
    <s v="No Delay"/>
  </r>
  <r>
    <s v="O108"/>
    <s v="17:34"/>
    <x v="0"/>
    <n v="18"/>
    <s v="17:52"/>
    <s v="17:52"/>
    <d v="1899-12-30T17:54:00"/>
    <s v="18:18"/>
    <n v="2.77"/>
    <x v="11"/>
    <n v="338"/>
    <n v="78"/>
    <s v="Delivered"/>
    <n v="18"/>
    <x v="0"/>
    <x v="0"/>
    <s v="None"/>
    <n v="44.000000000000163"/>
    <n v="0"/>
    <n v="1.9999999999999929"/>
    <n v="24.000000000000075"/>
    <x v="2"/>
    <s v="Evening"/>
    <x v="0"/>
    <n v="0.11541666666666631"/>
    <n v="28.158844765342959"/>
    <n v="0.23076923076923078"/>
    <s v="On-Time"/>
    <s v="No Delay"/>
  </r>
  <r>
    <s v="O109"/>
    <s v="10:37"/>
    <x v="0"/>
    <n v="16"/>
    <s v="10:53"/>
    <s v="10:53"/>
    <d v="1899-12-30T10:56:00"/>
    <s v="11:46"/>
    <n v="7.27"/>
    <x v="14"/>
    <n v="386"/>
    <n v="127"/>
    <s v="Delivered"/>
    <n v="14"/>
    <x v="0"/>
    <x v="0"/>
    <s v="Distance"/>
    <n v="69"/>
    <n v="0"/>
    <n v="2.9999999999999893"/>
    <n v="50.000000000000064"/>
    <x v="9"/>
    <s v="Late Morning"/>
    <x v="1"/>
    <n v="0.14539999999999981"/>
    <n v="17.469050894085282"/>
    <n v="0.32901554404145078"/>
    <s v="Late"/>
    <s v="No Delay"/>
  </r>
  <r>
    <s v="O110"/>
    <s v="10:04"/>
    <x v="0"/>
    <n v="17"/>
    <s v="10:21"/>
    <s v="10:24"/>
    <d v="1899-12-30T10:29:00"/>
    <s v="11:05"/>
    <n v="5.45"/>
    <x v="15"/>
    <n v="249"/>
    <n v="106"/>
    <s v="Delivered"/>
    <n v="14"/>
    <x v="0"/>
    <x v="0"/>
    <s v="None"/>
    <n v="61.000000000000021"/>
    <n v="3.0000000000000693"/>
    <n v="4.9999999999999822"/>
    <n v="36.000000000000028"/>
    <x v="9"/>
    <s v="Late Morning"/>
    <x v="1"/>
    <n v="0.15138888888888877"/>
    <n v="19.449541284403669"/>
    <n v="0.42570281124497994"/>
    <s v="Late"/>
    <s v="No Delay"/>
  </r>
  <r>
    <s v="O111"/>
    <s v="11:59"/>
    <x v="0"/>
    <n v="12"/>
    <s v="12:11"/>
    <s v="12:12"/>
    <d v="1899-12-30T12:13:00"/>
    <s v="12:30"/>
    <n v="1.1299999999999999"/>
    <x v="9"/>
    <n v="244"/>
    <n v="62"/>
    <s v="Delivered"/>
    <n v="15"/>
    <x v="0"/>
    <x v="0"/>
    <s v="None"/>
    <n v="31.000000000000128"/>
    <n v="0.99999999999999645"/>
    <n v="0.99999999999999645"/>
    <n v="17.000000000000099"/>
    <x v="1"/>
    <s v="Late Morning"/>
    <x v="1"/>
    <n v="6.6470588235293726E-2"/>
    <n v="54.867256637168147"/>
    <n v="0.25409836065573771"/>
    <s v="On-Time"/>
    <s v="No Delay"/>
  </r>
  <r>
    <s v="O112"/>
    <s v="14:54"/>
    <x v="0"/>
    <n v="16"/>
    <s v="15:10"/>
    <s v="15:13"/>
    <d v="1899-12-30T15:14:00"/>
    <s v="15:39"/>
    <n v="3.01"/>
    <x v="18"/>
    <n v="260"/>
    <n v="79"/>
    <s v="Delivered"/>
    <n v="17"/>
    <x v="2"/>
    <x v="0"/>
    <s v="None"/>
    <n v="45"/>
    <n v="2.9999999999999893"/>
    <n v="0.99999999999999645"/>
    <n v="25.000000000000071"/>
    <x v="8"/>
    <s v="Afternoon"/>
    <x v="1"/>
    <n v="0.12039999999999965"/>
    <n v="26.245847176079735"/>
    <n v="0.30384615384615382"/>
    <s v="On-Time"/>
    <s v="No Delay"/>
  </r>
  <r>
    <s v="O113"/>
    <s v="18:17"/>
    <x v="0"/>
    <n v="17"/>
    <s v="18:34"/>
    <s v="18:34"/>
    <d v="1899-12-30T18:40:00"/>
    <s v="19:10"/>
    <n v="3.98"/>
    <x v="9"/>
    <n v="397"/>
    <n v="94"/>
    <s v="Delivered"/>
    <n v="15"/>
    <x v="0"/>
    <x v="0"/>
    <s v="None"/>
    <n v="52.999999999999972"/>
    <n v="0"/>
    <n v="5.9999999999999787"/>
    <n v="30.000000000000053"/>
    <x v="3"/>
    <s v="Peak Night"/>
    <x v="0"/>
    <n v="0.13266666666666643"/>
    <n v="23.618090452261306"/>
    <n v="0.23677581863979849"/>
    <s v="Late"/>
    <s v="No Delay"/>
  </r>
  <r>
    <s v="O114"/>
    <s v="13:54"/>
    <x v="0"/>
    <n v="11"/>
    <s v="14:05"/>
    <s v="14:05"/>
    <d v="1899-12-30T14:09:00"/>
    <s v="14:39"/>
    <n v="4.3600000000000003"/>
    <x v="19"/>
    <n v="335"/>
    <n v="94"/>
    <s v="Delivered"/>
    <n v="14"/>
    <x v="0"/>
    <x v="0"/>
    <s v="None"/>
    <n v="45"/>
    <n v="0"/>
    <n v="3.9999999999999858"/>
    <n v="30.000000000000053"/>
    <x v="6"/>
    <s v="Afternoon"/>
    <x v="0"/>
    <n v="0.14533333333333309"/>
    <n v="21.559633027522935"/>
    <n v="0.28059701492537314"/>
    <s v="On-Time"/>
    <s v="No Delay"/>
  </r>
  <r>
    <s v="O115"/>
    <s v="10:03"/>
    <x v="1"/>
    <n v="26"/>
    <s v="10:29"/>
    <s v="10:36"/>
    <d v="1899-12-30T10:38:00"/>
    <s v="11:12"/>
    <n v="4.74"/>
    <x v="13"/>
    <n v="398"/>
    <n v="98"/>
    <s v="Failed"/>
    <n v="16"/>
    <x v="0"/>
    <x v="1"/>
    <s v="Restaurant Delay"/>
    <n v="68.999999999999915"/>
    <n v="7.0000000000000551"/>
    <n v="1.9999999999999929"/>
    <n v="33.999999999999957"/>
    <x v="9"/>
    <s v="Late Morning"/>
    <x v="1"/>
    <n v="0.13941176470588254"/>
    <n v="20.675105485232066"/>
    <n v="0.24623115577889448"/>
    <s v="Late"/>
    <s v="Restaurant Delay"/>
  </r>
  <r>
    <s v="O116"/>
    <s v="19:26"/>
    <x v="0"/>
    <n v="20"/>
    <s v="19:46"/>
    <s v="19:52"/>
    <d v="1899-12-30T20:03:00"/>
    <s v="20:41"/>
    <n v="5.79"/>
    <x v="10"/>
    <n v="353"/>
    <n v="116"/>
    <s v="Delivered"/>
    <n v="8"/>
    <x v="1"/>
    <x v="0"/>
    <s v="Traffic"/>
    <n v="75.000000000000057"/>
    <n v="6.0000000000001386"/>
    <n v="10.999999999999961"/>
    <n v="38.000000000000028"/>
    <x v="4"/>
    <s v="Peak Night"/>
    <x v="0"/>
    <n v="0.15236842105263146"/>
    <n v="20.034542314335059"/>
    <n v="0.32861189801699719"/>
    <s v="Late"/>
    <s v="No Delay"/>
  </r>
  <r>
    <s v="O117"/>
    <s v="13:39"/>
    <x v="0"/>
    <n v="11"/>
    <s v="13:50"/>
    <s v="13:53"/>
    <d v="1899-12-30T13:57:00"/>
    <s v="14:17"/>
    <n v="1.87"/>
    <x v="3"/>
    <n v="280"/>
    <n v="71"/>
    <s v="Delivered"/>
    <n v="18"/>
    <x v="0"/>
    <x v="0"/>
    <s v="None"/>
    <n v="38.000000000000028"/>
    <n v="2.9999999999998295"/>
    <n v="3.9999999999999858"/>
    <n v="20.000000000000089"/>
    <x v="6"/>
    <s v="Afternoon"/>
    <x v="0"/>
    <n v="9.3499999999999583E-2"/>
    <n v="37.967914438502675"/>
    <n v="0.25357142857142856"/>
    <s v="On-Time"/>
    <s v="No Delay"/>
  </r>
  <r>
    <s v="O118"/>
    <s v="16:42"/>
    <x v="1"/>
    <n v="40"/>
    <s v="17:22"/>
    <s v="17:32"/>
    <d v="1899-12-30T17:34:00"/>
    <s v="17:58"/>
    <n v="3.7"/>
    <x v="16"/>
    <n v="283"/>
    <n v="83"/>
    <s v="Delivered"/>
    <n v="15"/>
    <x v="2"/>
    <x v="0"/>
    <s v="Restaurant Delay"/>
    <n v="75.999999999999886"/>
    <n v="10.000000000000124"/>
    <n v="1.9999999999999929"/>
    <n v="23.999999999999755"/>
    <x v="5"/>
    <s v="Evening"/>
    <x v="1"/>
    <n v="0.15416666666666826"/>
    <n v="22.432432432432432"/>
    <n v="0.29328621908127206"/>
    <s v="Late"/>
    <s v="No Delay"/>
  </r>
  <r>
    <s v="O119"/>
    <s v="17:06"/>
    <x v="0"/>
    <n v="18"/>
    <s v="17:24"/>
    <s v="17:25"/>
    <d v="1899-12-30T17:31:00"/>
    <s v="18:07"/>
    <n v="5.44"/>
    <x v="18"/>
    <n v="309"/>
    <n v="107"/>
    <s v="Delivered"/>
    <n v="14"/>
    <x v="0"/>
    <x v="0"/>
    <s v="None"/>
    <n v="60.999999999999943"/>
    <n v="1.0000000000001563"/>
    <n v="5.9999999999999787"/>
    <n v="35.999999999999872"/>
    <x v="2"/>
    <s v="Evening"/>
    <x v="0"/>
    <n v="0.15111111111111167"/>
    <n v="19.669117647058822"/>
    <n v="0.34627831715210355"/>
    <s v="Late"/>
    <s v="No Delay"/>
  </r>
  <r>
    <s v="O120"/>
    <s v="18:17"/>
    <x v="1"/>
    <n v="36"/>
    <s v="18:53"/>
    <s v="19:03"/>
    <d v="1899-12-30T19:07:00"/>
    <s v="19:24"/>
    <n v="1.4"/>
    <x v="13"/>
    <n v="344"/>
    <n v="66"/>
    <s v="Delivered"/>
    <n v="17"/>
    <x v="0"/>
    <x v="0"/>
    <s v="Restaurant Delay"/>
    <n v="66.999999999999758"/>
    <n v="10.000000000000124"/>
    <n v="3.9999999999999858"/>
    <n v="16.99999999999978"/>
    <x v="3"/>
    <s v="Peak Night"/>
    <x v="0"/>
    <n v="8.2352941176471656E-2"/>
    <n v="47.142857142857146"/>
    <n v="0.19186046511627908"/>
    <s v="Late"/>
    <s v="No Delay"/>
  </r>
  <r>
    <s v="O121"/>
    <s v="13:54"/>
    <x v="0"/>
    <n v="14"/>
    <s v="14:08"/>
    <s v="14:09"/>
    <d v="1899-12-30T14:14:00"/>
    <s v="14:41"/>
    <n v="3.88"/>
    <x v="7"/>
    <n v="254"/>
    <n v="89"/>
    <s v="Delivered"/>
    <n v="17"/>
    <x v="0"/>
    <x v="0"/>
    <s v="None"/>
    <n v="46.999999999999993"/>
    <n v="0.99999999999999645"/>
    <n v="4.9999999999999822"/>
    <n v="27.000000000000064"/>
    <x v="6"/>
    <s v="Afternoon"/>
    <x v="0"/>
    <n v="0.14370370370370336"/>
    <n v="22.938144329896907"/>
    <n v="0.35039370078740156"/>
    <s v="Late"/>
    <s v="No Delay"/>
  </r>
  <r>
    <s v="O122"/>
    <s v="10:59"/>
    <x v="0"/>
    <n v="19"/>
    <s v="11:18"/>
    <s v="11:20"/>
    <d v="1899-12-30T11:24:00"/>
    <s v="12:11"/>
    <n v="7.62"/>
    <x v="2"/>
    <n v="328"/>
    <n v="127"/>
    <s v="Delivered"/>
    <n v="16"/>
    <x v="0"/>
    <x v="0"/>
    <s v="Distance"/>
    <n v="71.999999999999986"/>
    <n v="1.9999999999999929"/>
    <n v="3.9999999999999858"/>
    <n v="46.999999999999915"/>
    <x v="9"/>
    <s v="Late Morning"/>
    <x v="1"/>
    <n v="0.16212765957446837"/>
    <n v="16.666666666666668"/>
    <n v="0.38719512195121952"/>
    <s v="Late"/>
    <s v="No Delay"/>
  </r>
  <r>
    <s v="O123"/>
    <s v="14:33"/>
    <x v="0"/>
    <n v="17"/>
    <s v="14:50"/>
    <s v="14:52"/>
    <d v="1899-12-30T14:58:00"/>
    <s v="15:24"/>
    <n v="4.29"/>
    <x v="19"/>
    <n v="344"/>
    <n v="91"/>
    <s v="Delivered"/>
    <n v="17"/>
    <x v="2"/>
    <x v="0"/>
    <s v="None"/>
    <n v="50.999999999999979"/>
    <n v="1.9999999999999929"/>
    <n v="5.9999999999999787"/>
    <n v="26.000000000000068"/>
    <x v="8"/>
    <s v="Afternoon"/>
    <x v="1"/>
    <n v="0.16499999999999956"/>
    <n v="21.212121212121211"/>
    <n v="0.26453488372093026"/>
    <s v="Late"/>
    <s v="No Delay"/>
  </r>
  <r>
    <s v="O124"/>
    <s v="19:54"/>
    <x v="0"/>
    <n v="18"/>
    <s v="20:12"/>
    <s v="20:21"/>
    <d v="1899-12-30T20:29:00"/>
    <s v="21:00"/>
    <n v="4.53"/>
    <x v="0"/>
    <n v="315"/>
    <n v="100"/>
    <s v="Delivered"/>
    <n v="9"/>
    <x v="1"/>
    <x v="0"/>
    <s v="Traffic"/>
    <n v="66.000000000000085"/>
    <n v="9.0000000000001279"/>
    <n v="7.9999999999999716"/>
    <n v="30.99999999999989"/>
    <x v="4"/>
    <s v="Peak Night"/>
    <x v="0"/>
    <n v="0.14612903225806503"/>
    <n v="22.075055187637968"/>
    <n v="0.31746031746031744"/>
    <s v="Late"/>
    <s v="No Delay"/>
  </r>
  <r>
    <s v="O125"/>
    <s v="15:22"/>
    <x v="0"/>
    <n v="17"/>
    <s v="15:39"/>
    <s v="15:40"/>
    <d v="1899-12-30T15:42:00"/>
    <s v="15:56"/>
    <n v="1.9"/>
    <x v="14"/>
    <n v="207"/>
    <n v="64"/>
    <s v="Delivered"/>
    <n v="17"/>
    <x v="2"/>
    <x v="0"/>
    <s v="None"/>
    <n v="33.999999999999879"/>
    <n v="0.99999999999999645"/>
    <n v="1.9999999999999929"/>
    <n v="13.99999999999995"/>
    <x v="7"/>
    <s v="Evening"/>
    <x v="1"/>
    <n v="0.1357142857142862"/>
    <n v="33.684210526315788"/>
    <n v="0.30917874396135264"/>
    <s v="On-Time"/>
    <s v="No Delay"/>
  </r>
  <r>
    <s v="O126"/>
    <s v="19:11"/>
    <x v="0"/>
    <n v="10"/>
    <s v="19:21"/>
    <s v="19:22"/>
    <d v="1899-12-30T19:31:00"/>
    <s v="20:09"/>
    <n v="5.79"/>
    <x v="11"/>
    <n v="278"/>
    <n v="114"/>
    <s v="Delivered"/>
    <n v="12"/>
    <x v="1"/>
    <x v="0"/>
    <s v="Traffic"/>
    <n v="57.999999999999794"/>
    <n v="0.99999999999999645"/>
    <n v="8.999999999999968"/>
    <n v="37.999999999999865"/>
    <x v="4"/>
    <s v="Peak Night"/>
    <x v="0"/>
    <n v="0.15236842105263212"/>
    <n v="19.689119170984455"/>
    <n v="0.41007194244604317"/>
    <s v="Late"/>
    <s v="No Delay"/>
  </r>
  <r>
    <s v="O127"/>
    <s v="15:15"/>
    <x v="0"/>
    <n v="10"/>
    <s v="15:25"/>
    <s v="15:26"/>
    <d v="1899-12-30T15:29:00"/>
    <s v="16:08"/>
    <n v="6.76"/>
    <x v="16"/>
    <n v="207"/>
    <n v="114"/>
    <s v="Delivered"/>
    <n v="15"/>
    <x v="2"/>
    <x v="0"/>
    <s v="Distance"/>
    <n v="52.999999999999972"/>
    <n v="1.0000000000001563"/>
    <n v="2.9999999999999893"/>
    <n v="38.999999999999858"/>
    <x v="7"/>
    <s v="Evening"/>
    <x v="1"/>
    <n v="0.17333333333333395"/>
    <n v="16.863905325443788"/>
    <n v="0.55072463768115942"/>
    <s v="Late"/>
    <s v="No Delay"/>
  </r>
  <r>
    <s v="O128"/>
    <s v="15:49"/>
    <x v="0"/>
    <n v="18"/>
    <s v="16:07"/>
    <s v="16:09"/>
    <d v="1899-12-30T16:10:00"/>
    <s v="16:25"/>
    <n v="1.85"/>
    <x v="9"/>
    <n v="214"/>
    <n v="63"/>
    <s v="Delivered"/>
    <n v="18"/>
    <x v="2"/>
    <x v="0"/>
    <s v="None"/>
    <n v="36.000000000000028"/>
    <n v="1.999999999999833"/>
    <n v="0.99999999999999645"/>
    <n v="15.000000000000107"/>
    <x v="7"/>
    <s v="Evening"/>
    <x v="1"/>
    <n v="0.12333333333333246"/>
    <n v="34.054054054054049"/>
    <n v="0.29439252336448596"/>
    <s v="On-Time"/>
    <s v="No Delay"/>
  </r>
  <r>
    <s v="O129"/>
    <s v="19:47"/>
    <x v="1"/>
    <n v="27"/>
    <s v="20:14"/>
    <s v="20:20"/>
    <d v="1899-12-30T20:29:00"/>
    <s v="20:53"/>
    <n v="3.1"/>
    <x v="4"/>
    <n v="162"/>
    <n v="87"/>
    <s v="Delivered"/>
    <n v="8"/>
    <x v="1"/>
    <x v="0"/>
    <s v="Traffic"/>
    <n v="65.999999999999929"/>
    <n v="5.9999999999999787"/>
    <n v="8.999999999999968"/>
    <n v="24.000000000000075"/>
    <x v="4"/>
    <s v="Peak Night"/>
    <x v="0"/>
    <n v="0.12916666666666626"/>
    <n v="28.064516129032256"/>
    <n v="0.53703703703703709"/>
    <s v="Late"/>
    <s v="No Delay"/>
  </r>
  <r>
    <s v="O130"/>
    <s v="10:31"/>
    <x v="1"/>
    <n v="37"/>
    <s v="11:08"/>
    <s v="11:14"/>
    <d v="1899-12-30T11:18:00"/>
    <s v="11:58"/>
    <n v="5.47"/>
    <x v="16"/>
    <n v="234"/>
    <n v="109"/>
    <s v="Delivered"/>
    <n v="14"/>
    <x v="0"/>
    <x v="0"/>
    <s v="Restaurant Delay"/>
    <n v="86.999999999999929"/>
    <n v="5.9999999999999787"/>
    <n v="3.9999999999999858"/>
    <n v="40.000000000000099"/>
    <x v="9"/>
    <s v="Late Morning"/>
    <x v="1"/>
    <n v="0.13674999999999965"/>
    <n v="19.926873857404022"/>
    <n v="0.46581196581196582"/>
    <s v="Late"/>
    <s v="No Delay"/>
  </r>
  <r>
    <s v="O131"/>
    <s v="10:08"/>
    <x v="0"/>
    <n v="15"/>
    <s v="10:23"/>
    <s v="10:24"/>
    <d v="1899-12-30T10:27:00"/>
    <s v="11:15"/>
    <n v="7.46"/>
    <x v="16"/>
    <n v="372"/>
    <n v="126"/>
    <s v="Delivered"/>
    <n v="12"/>
    <x v="0"/>
    <x v="0"/>
    <s v="Distance"/>
    <n v="67"/>
    <n v="1.0000000000000764"/>
    <n v="2.9999999999999893"/>
    <n v="47.999999999999986"/>
    <x v="9"/>
    <s v="Late Morning"/>
    <x v="1"/>
    <n v="0.1554166666666667"/>
    <n v="16.890080428954423"/>
    <n v="0.33870967741935482"/>
    <s v="Late"/>
    <s v="No Delay"/>
  </r>
  <r>
    <s v="O132"/>
    <s v="16:54"/>
    <x v="1"/>
    <n v="40"/>
    <s v="17:34"/>
    <s v="17:42"/>
    <d v="1899-12-30T17:47:00"/>
    <s v="18:15"/>
    <n v="4.75"/>
    <x v="2"/>
    <n v="206"/>
    <n v="95"/>
    <s v="Delivered"/>
    <n v="19"/>
    <x v="2"/>
    <x v="0"/>
    <s v="Restaurant Delay"/>
    <n v="81.000000000000028"/>
    <n v="7.9999999999999716"/>
    <n v="4.9999999999999822"/>
    <n v="28.00000000000006"/>
    <x v="5"/>
    <s v="Evening"/>
    <x v="1"/>
    <n v="0.16964285714285679"/>
    <n v="20"/>
    <n v="0.46116504854368934"/>
    <s v="Late"/>
    <s v="No Delay"/>
  </r>
  <r>
    <s v="O133"/>
    <s v="19:22"/>
    <x v="1"/>
    <n v="28"/>
    <s v="19:50"/>
    <s v="19:58"/>
    <d v="1899-12-30T20:08:00"/>
    <s v="20:30"/>
    <n v="2.5099999999999998"/>
    <x v="16"/>
    <n v="155"/>
    <n v="83"/>
    <s v="Delivered"/>
    <n v="9"/>
    <x v="1"/>
    <x v="0"/>
    <s v="Traffic"/>
    <n v="67.999999999999915"/>
    <n v="7.9999999999999716"/>
    <n v="9.9999999999999645"/>
    <n v="22.000000000000082"/>
    <x v="4"/>
    <s v="Peak Night"/>
    <x v="0"/>
    <n v="0.11409090909090866"/>
    <n v="33.067729083665341"/>
    <n v="0.53548387096774197"/>
    <s v="Late"/>
    <s v="No Delay"/>
  </r>
  <r>
    <s v="O134"/>
    <s v="19:11"/>
    <x v="0"/>
    <n v="18"/>
    <s v="19:29"/>
    <s v="19:29"/>
    <d v="1899-12-30T19:40:00"/>
    <s v="20:02"/>
    <n v="1.88"/>
    <x v="7"/>
    <n v="167"/>
    <n v="80"/>
    <s v="Delivered"/>
    <n v="10"/>
    <x v="1"/>
    <x v="0"/>
    <s v="Traffic"/>
    <n v="50.999999999999979"/>
    <n v="0"/>
    <n v="10.999999999999961"/>
    <n v="22.000000000000082"/>
    <x v="4"/>
    <s v="Peak Night"/>
    <x v="0"/>
    <n v="8.5454545454545131E-2"/>
    <n v="42.553191489361701"/>
    <n v="0.47904191616766467"/>
    <s v="Late"/>
    <s v="No Delay"/>
  </r>
  <r>
    <s v="O135"/>
    <s v="16:11"/>
    <x v="0"/>
    <n v="18"/>
    <s v="16:29"/>
    <s v="16:31"/>
    <d v="1899-12-30T16:34:00"/>
    <s v="16:48"/>
    <n v="1.21"/>
    <x v="9"/>
    <n v="183"/>
    <n v="61"/>
    <s v="Delivered"/>
    <n v="20"/>
    <x v="2"/>
    <x v="0"/>
    <s v="None"/>
    <n v="37.000000000000028"/>
    <n v="1.9999999999999929"/>
    <n v="2.9999999999999893"/>
    <n v="14.00000000000011"/>
    <x v="5"/>
    <s v="Evening"/>
    <x v="1"/>
    <n v="8.6428571428570744E-2"/>
    <n v="50.413223140495866"/>
    <n v="0.33333333333333331"/>
    <s v="On-Time"/>
    <s v="No Delay"/>
  </r>
  <r>
    <s v="O136"/>
    <s v="11:16"/>
    <x v="0"/>
    <n v="12"/>
    <s v="11:28"/>
    <s v="11:30"/>
    <d v="1899-12-30T11:36:00"/>
    <s v="12:04"/>
    <n v="4.3899999999999997"/>
    <x v="19"/>
    <n v="224"/>
    <n v="94"/>
    <s v="Delivered"/>
    <n v="17"/>
    <x v="0"/>
    <x v="0"/>
    <s v="None"/>
    <n v="47.999999999999908"/>
    <n v="1.9999999999999929"/>
    <n v="5.9999999999999787"/>
    <n v="27.999999999999979"/>
    <x v="1"/>
    <s v="Late Morning"/>
    <x v="1"/>
    <n v="0.15678571428571439"/>
    <n v="21.412300683371299"/>
    <n v="0.41964285714285715"/>
    <s v="Late"/>
    <s v="No Delay"/>
  </r>
  <r>
    <s v="O137"/>
    <s v="12:39"/>
    <x v="0"/>
    <n v="16"/>
    <s v="12:55"/>
    <s v="12:56"/>
    <d v="1899-12-30T12:57:00"/>
    <s v="13:30"/>
    <n v="3.84"/>
    <x v="8"/>
    <n v="320"/>
    <n v="91"/>
    <s v="Delivered"/>
    <n v="18"/>
    <x v="0"/>
    <x v="0"/>
    <s v="None"/>
    <n v="50.999999999999979"/>
    <n v="0.99999999999999645"/>
    <n v="0.99999999999999645"/>
    <n v="33.000000000000043"/>
    <x v="0"/>
    <s v="Afternoon"/>
    <x v="0"/>
    <n v="0.11636363636363621"/>
    <n v="23.697916666666668"/>
    <n v="0.28437499999999999"/>
    <s v="Late"/>
    <s v="No Delay"/>
  </r>
  <r>
    <s v="O138"/>
    <s v="10:08"/>
    <x v="0"/>
    <n v="10"/>
    <s v="10:18"/>
    <s v="10:18"/>
    <d v="1899-12-30T10:22:00"/>
    <s v="10:44"/>
    <n v="1.93"/>
    <x v="12"/>
    <n v="349"/>
    <n v="74"/>
    <s v="Delivered"/>
    <n v="18"/>
    <x v="0"/>
    <x v="0"/>
    <s v="None"/>
    <n v="35.99999999999995"/>
    <n v="0"/>
    <n v="3.9999999999999858"/>
    <n v="21.999999999999922"/>
    <x v="9"/>
    <s v="Late Morning"/>
    <x v="1"/>
    <n v="8.7727272727273042E-2"/>
    <n v="38.3419689119171"/>
    <n v="0.21203438395415472"/>
    <s v="On-Time"/>
    <s v="No Delay"/>
  </r>
  <r>
    <s v="O139"/>
    <s v="17:12"/>
    <x v="0"/>
    <n v="15"/>
    <s v="17:27"/>
    <s v="17:27"/>
    <d v="1899-12-30T17:28:00"/>
    <s v="18:08"/>
    <n v="5.24"/>
    <x v="10"/>
    <n v="349"/>
    <n v="105"/>
    <s v="Delivered"/>
    <n v="15"/>
    <x v="0"/>
    <x v="0"/>
    <s v="None"/>
    <n v="55.999999999999957"/>
    <n v="0"/>
    <n v="0.99999999999999645"/>
    <n v="40.000000000000014"/>
    <x v="2"/>
    <s v="Evening"/>
    <x v="0"/>
    <n v="0.13099999999999995"/>
    <n v="20.038167938931299"/>
    <n v="0.3008595988538682"/>
    <s v="Late"/>
    <s v="No Delay"/>
  </r>
  <r>
    <s v="O140"/>
    <s v="10:00"/>
    <x v="0"/>
    <n v="11"/>
    <s v="10:11"/>
    <s v="10:13"/>
    <d v="1899-12-30T10:15:00"/>
    <s v="10:49"/>
    <n v="4.71"/>
    <x v="11"/>
    <n v="350"/>
    <n v="98"/>
    <s v="Delivered"/>
    <n v="16"/>
    <x v="0"/>
    <x v="0"/>
    <s v="None"/>
    <n v="48.999999999999986"/>
    <n v="1.9999999999999929"/>
    <n v="1.9999999999999929"/>
    <n v="34.000000000000043"/>
    <x v="9"/>
    <s v="Late Morning"/>
    <x v="1"/>
    <n v="0.13852941176470571"/>
    <n v="20.806794055201699"/>
    <n v="0.28000000000000003"/>
    <s v="Late"/>
    <s v="No Delay"/>
  </r>
  <r>
    <s v="O141"/>
    <s v="16:04"/>
    <x v="0"/>
    <n v="13"/>
    <s v="16:17"/>
    <s v="16:19"/>
    <d v="1899-12-30T16:23:00"/>
    <s v="16:35"/>
    <n v="1.74"/>
    <x v="10"/>
    <n v="179"/>
    <n v="63"/>
    <s v="Delivered"/>
    <n v="19"/>
    <x v="2"/>
    <x v="0"/>
    <s v="None"/>
    <n v="31.00000000000005"/>
    <n v="1.9999999999999929"/>
    <n v="3.9999999999999858"/>
    <n v="11.999999999999957"/>
    <x v="5"/>
    <s v="Evening"/>
    <x v="1"/>
    <n v="0.14500000000000052"/>
    <n v="36.206896551724135"/>
    <n v="0.35195530726256985"/>
    <s v="On-Time"/>
    <s v="No Delay"/>
  </r>
  <r>
    <s v="O142"/>
    <s v="15:21"/>
    <x v="0"/>
    <n v="15"/>
    <s v="15:36"/>
    <s v="15:36"/>
    <d v="1899-12-30T15:37:00"/>
    <s v="16:14"/>
    <n v="5.38"/>
    <x v="5"/>
    <n v="256"/>
    <n v="103"/>
    <s v="Delivered"/>
    <n v="17"/>
    <x v="2"/>
    <x v="0"/>
    <s v="None"/>
    <n v="53.000000000000128"/>
    <n v="0"/>
    <n v="0.99999999999999645"/>
    <n v="37.000000000000028"/>
    <x v="7"/>
    <s v="Evening"/>
    <x v="1"/>
    <n v="0.14540540540540528"/>
    <n v="19.144981412639407"/>
    <n v="0.40234375"/>
    <s v="Late"/>
    <s v="No Delay"/>
  </r>
  <r>
    <s v="O143"/>
    <s v="16:07"/>
    <x v="0"/>
    <n v="15"/>
    <s v="16:22"/>
    <s v="16:23"/>
    <d v="1899-12-30T16:26:00"/>
    <s v="16:48"/>
    <n v="2.67"/>
    <x v="6"/>
    <n v="179"/>
    <n v="76"/>
    <s v="Failed"/>
    <n v="18"/>
    <x v="2"/>
    <x v="1"/>
    <s v="Restaurant Delay"/>
    <n v="41.000000000000014"/>
    <n v="0.99999999999999645"/>
    <n v="2.9999999999999893"/>
    <n v="22.000000000000082"/>
    <x v="5"/>
    <s v="Evening"/>
    <x v="1"/>
    <n v="0.12136363636363591"/>
    <n v="28.464419475655433"/>
    <n v="0.42458100558659218"/>
    <s v="On-Time"/>
    <s v="Restaurant Delay"/>
  </r>
  <r>
    <s v="O144"/>
    <s v="12:56"/>
    <x v="0"/>
    <n v="20"/>
    <s v="13:16"/>
    <s v="13:16"/>
    <d v="1899-12-30T13:20:00"/>
    <s v="14:01"/>
    <n v="6.3"/>
    <x v="3"/>
    <n v="155"/>
    <n v="115"/>
    <s v="Delivered"/>
    <n v="15"/>
    <x v="0"/>
    <x v="0"/>
    <s v="Distance"/>
    <n v="65.000000000000085"/>
    <n v="0"/>
    <n v="3.9999999999999858"/>
    <n v="41.000000000000014"/>
    <x v="0"/>
    <s v="Afternoon"/>
    <x v="0"/>
    <n v="0.1536585365853658"/>
    <n v="18.253968253968253"/>
    <n v="0.74193548387096775"/>
    <s v="Late"/>
    <s v="No Delay"/>
  </r>
  <r>
    <s v="O145"/>
    <s v="13:34"/>
    <x v="0"/>
    <n v="12"/>
    <s v="13:46"/>
    <s v="13:47"/>
    <d v="1899-12-30T13:50:00"/>
    <s v="14:16"/>
    <n v="2.59"/>
    <x v="18"/>
    <n v="398"/>
    <n v="80"/>
    <s v="Delivered"/>
    <n v="15"/>
    <x v="0"/>
    <x v="0"/>
    <s v="None"/>
    <n v="42.000000000000014"/>
    <n v="0.99999999999983658"/>
    <n v="2.9999999999999893"/>
    <n v="26.000000000000068"/>
    <x v="6"/>
    <s v="Afternoon"/>
    <x v="0"/>
    <n v="9.9615384615384356E-2"/>
    <n v="30.88803088803089"/>
    <n v="0.20100502512562815"/>
    <s v="On-Time"/>
    <s v="No Delay"/>
  </r>
  <r>
    <s v="O146"/>
    <s v="14:11"/>
    <x v="0"/>
    <n v="17"/>
    <s v="14:28"/>
    <s v="14:29"/>
    <d v="1899-12-30T14:33:00"/>
    <s v="14:56"/>
    <n v="3.59"/>
    <x v="7"/>
    <n v="252"/>
    <n v="83"/>
    <s v="Delivered"/>
    <n v="20"/>
    <x v="2"/>
    <x v="0"/>
    <s v="None"/>
    <n v="45"/>
    <n v="0.99999999999999645"/>
    <n v="3.9999999999999858"/>
    <n v="23.000000000000078"/>
    <x v="8"/>
    <s v="Afternoon"/>
    <x v="1"/>
    <n v="0.1560869565217386"/>
    <n v="23.119777158774376"/>
    <n v="0.32936507936507936"/>
    <s v="On-Time"/>
    <s v="No Delay"/>
  </r>
  <r>
    <s v="O147"/>
    <s v="12:03"/>
    <x v="0"/>
    <n v="14"/>
    <s v="12:17"/>
    <s v="12:20"/>
    <d v="1899-12-30T12:23:00"/>
    <s v="12:43"/>
    <n v="2.0499999999999998"/>
    <x v="17"/>
    <n v="354"/>
    <n v="71"/>
    <s v="Delivered"/>
    <n v="18"/>
    <x v="0"/>
    <x v="0"/>
    <s v="None"/>
    <n v="40.000000000000014"/>
    <n v="3.0000000000001492"/>
    <n v="2.9999999999999893"/>
    <n v="19.999999999999929"/>
    <x v="0"/>
    <s v="Afternoon"/>
    <x v="0"/>
    <n v="0.10250000000000035"/>
    <n v="34.634146341463421"/>
    <n v="0.20056497175141244"/>
    <s v="On-Time"/>
    <s v="No Delay"/>
  </r>
  <r>
    <s v="O148"/>
    <s v="11:16"/>
    <x v="0"/>
    <n v="17"/>
    <s v="11:33"/>
    <s v="11:35"/>
    <d v="1899-12-30T11:39:00"/>
    <s v="12:18"/>
    <n v="5.67"/>
    <x v="6"/>
    <n v="189"/>
    <n v="109"/>
    <s v="Delivered"/>
    <n v="18"/>
    <x v="0"/>
    <x v="0"/>
    <s v="None"/>
    <n v="62.000000000000021"/>
    <n v="1.9999999999999929"/>
    <n v="3.9999999999999858"/>
    <n v="39.000000000000099"/>
    <x v="1"/>
    <s v="Late Morning"/>
    <x v="1"/>
    <n v="0.145384615384615"/>
    <n v="19.223985890652557"/>
    <n v="0.57671957671957674"/>
    <s v="Late"/>
    <s v="No Delay"/>
  </r>
  <r>
    <s v="O149"/>
    <s v="11:48"/>
    <x v="0"/>
    <n v="10"/>
    <s v="11:58"/>
    <s v="11:59"/>
    <d v="1899-12-30T12:02:00"/>
    <s v="12:47"/>
    <n v="6.68"/>
    <x v="17"/>
    <n v="250"/>
    <n v="119"/>
    <s v="Delivered"/>
    <n v="15"/>
    <x v="0"/>
    <x v="0"/>
    <s v="Distance"/>
    <n v="58.99999999999995"/>
    <n v="0.99999999999991651"/>
    <n v="3.0000000000000693"/>
    <n v="45"/>
    <x v="1"/>
    <s v="Late Morning"/>
    <x v="1"/>
    <n v="0.14844444444444443"/>
    <n v="17.814371257485032"/>
    <n v="0.47599999999999998"/>
    <s v="Late"/>
    <s v="No Delay"/>
  </r>
  <r>
    <s v="O150"/>
    <s v="19:17"/>
    <x v="0"/>
    <n v="16"/>
    <s v="19:33"/>
    <s v="19:43"/>
    <d v="1899-12-30T19:50:00"/>
    <s v="20:21"/>
    <n v="2.25"/>
    <x v="7"/>
    <n v="348"/>
    <n v="87"/>
    <s v="Delivered"/>
    <n v="9"/>
    <x v="1"/>
    <x v="0"/>
    <s v="Traffic"/>
    <n v="64.000000000000085"/>
    <n v="9.9999999999999645"/>
    <n v="6.9999999999999751"/>
    <n v="31.00000000000021"/>
    <x v="4"/>
    <s v="Peak Night"/>
    <x v="0"/>
    <n v="7.2580645161289828E-2"/>
    <n v="38.666666666666664"/>
    <n v="0.25"/>
    <s v="Late"/>
    <s v="No Delay"/>
  </r>
  <r>
    <s v="O151"/>
    <s v="19:31"/>
    <x v="0"/>
    <n v="12"/>
    <s v="19:43"/>
    <s v="19:44"/>
    <d v="1899-12-30T19:53:00"/>
    <s v="20:15"/>
    <n v="1.1499999999999999"/>
    <x v="10"/>
    <n v="353"/>
    <n v="75"/>
    <s v="Delivered"/>
    <n v="11"/>
    <x v="1"/>
    <x v="0"/>
    <s v="Traffic"/>
    <n v="44"/>
    <n v="1.0000000000001563"/>
    <n v="8.999999999999968"/>
    <n v="21.999999999999922"/>
    <x v="4"/>
    <s v="Peak Night"/>
    <x v="0"/>
    <n v="5.2272727272727457E-2"/>
    <n v="65.217391304347828"/>
    <n v="0.21246458923512748"/>
    <s v="On-Time"/>
    <s v="No Delay"/>
  </r>
  <r>
    <s v="O152"/>
    <s v="18:48"/>
    <x v="0"/>
    <n v="18"/>
    <s v="19:06"/>
    <s v="19:06"/>
    <d v="1899-12-30T19:09:00"/>
    <s v="19:49"/>
    <n v="5.57"/>
    <x v="15"/>
    <n v="349"/>
    <n v="109"/>
    <s v="Delivered"/>
    <n v="17"/>
    <x v="0"/>
    <x v="0"/>
    <s v="None"/>
    <n v="60.999999999999943"/>
    <n v="0"/>
    <n v="2.9999999999999893"/>
    <n v="39.999999999999858"/>
    <x v="3"/>
    <s v="Peak Night"/>
    <x v="0"/>
    <n v="0.13925000000000051"/>
    <n v="19.569120287253142"/>
    <n v="0.31232091690544411"/>
    <s v="Late"/>
    <s v="No Delay"/>
  </r>
  <r>
    <s v="O153"/>
    <s v="12:01"/>
    <x v="0"/>
    <n v="10"/>
    <s v="12:11"/>
    <s v="12:14"/>
    <d v="1899-12-30T12:15:00"/>
    <s v="12:50"/>
    <n v="4.92"/>
    <x v="17"/>
    <n v="211"/>
    <n v="99"/>
    <s v="Failed"/>
    <n v="15"/>
    <x v="0"/>
    <x v="1"/>
    <s v="Restaurant Delay"/>
    <n v="48.999999999999986"/>
    <n v="2.9999999999999893"/>
    <n v="0.99999999999999645"/>
    <n v="35.000000000000036"/>
    <x v="0"/>
    <s v="Afternoon"/>
    <x v="0"/>
    <n v="0.14057142857142843"/>
    <n v="20.121951219512194"/>
    <n v="0.46919431279620855"/>
    <s v="Late"/>
    <s v="Restaurant Delay"/>
  </r>
  <r>
    <s v="O154"/>
    <s v="10:21"/>
    <x v="0"/>
    <n v="14"/>
    <s v="10:35"/>
    <s v="10:36"/>
    <d v="1899-12-30T10:39:00"/>
    <s v="11:20"/>
    <n v="6.06"/>
    <x v="18"/>
    <n v="293"/>
    <n v="112"/>
    <s v="Delivered"/>
    <n v="15"/>
    <x v="0"/>
    <x v="0"/>
    <s v="Distance"/>
    <n v="59.000000000000114"/>
    <n v="0.99999999999991651"/>
    <n v="2.9999999999999893"/>
    <n v="41.000000000000092"/>
    <x v="9"/>
    <s v="Late Morning"/>
    <x v="1"/>
    <n v="0.14780487804878015"/>
    <n v="18.481848184818482"/>
    <n v="0.38225255972696248"/>
    <s v="Late"/>
    <s v="No Delay"/>
  </r>
  <r>
    <s v="O155"/>
    <s v="19:07"/>
    <x v="0"/>
    <n v="18"/>
    <s v="19:25"/>
    <s v="19:28"/>
    <d v="1899-12-30T19:35:00"/>
    <s v="20:03"/>
    <n v="2.17"/>
    <x v="0"/>
    <n v="356"/>
    <n v="84"/>
    <s v="Delivered"/>
    <n v="11"/>
    <x v="1"/>
    <x v="0"/>
    <s v="Traffic"/>
    <n v="55.999999999999957"/>
    <n v="2.9999999999998295"/>
    <n v="6.9999999999999751"/>
    <n v="28.00000000000022"/>
    <x v="4"/>
    <s v="Peak Night"/>
    <x v="0"/>
    <n v="7.7499999999999389E-2"/>
    <n v="38.70967741935484"/>
    <n v="0.23595505617977527"/>
    <s v="Late"/>
    <s v="No Delay"/>
  </r>
  <r>
    <s v="O156"/>
    <s v="18:27"/>
    <x v="0"/>
    <n v="15"/>
    <s v="18:42"/>
    <s v="18:43"/>
    <d v="1899-12-30T18:46:00"/>
    <s v="19:21"/>
    <n v="4.97"/>
    <x v="14"/>
    <n v="309"/>
    <n v="101"/>
    <s v="Delivered"/>
    <n v="13"/>
    <x v="0"/>
    <x v="0"/>
    <s v="None"/>
    <n v="54.000000000000128"/>
    <n v="0.99999999999983658"/>
    <n v="2.9999999999999893"/>
    <n v="35.000000000000199"/>
    <x v="3"/>
    <s v="Peak Night"/>
    <x v="0"/>
    <n v="0.14199999999999918"/>
    <n v="20.321931589537225"/>
    <n v="0.32686084142394822"/>
    <s v="Late"/>
    <s v="No Delay"/>
  </r>
  <r>
    <s v="O157"/>
    <s v="16:09"/>
    <x v="0"/>
    <n v="12"/>
    <s v="16:21"/>
    <s v="16:24"/>
    <d v="1899-12-30T16:29:00"/>
    <s v="16:46"/>
    <n v="2.77"/>
    <x v="17"/>
    <n v="269"/>
    <n v="74"/>
    <s v="Delivered"/>
    <n v="17"/>
    <x v="2"/>
    <x v="0"/>
    <s v="None"/>
    <n v="37.000000000000028"/>
    <n v="2.9999999999998295"/>
    <n v="4.9999999999999822"/>
    <n v="17.000000000000099"/>
    <x v="5"/>
    <s v="Evening"/>
    <x v="1"/>
    <n v="0.16294117647058728"/>
    <n v="26.714801444043321"/>
    <n v="0.27509293680297398"/>
    <s v="On-Time"/>
    <s v="No Delay"/>
  </r>
  <r>
    <s v="O158"/>
    <s v="12:32"/>
    <x v="0"/>
    <n v="14"/>
    <s v="12:46"/>
    <s v="12:47"/>
    <d v="1899-12-30T12:52:00"/>
    <s v="13:07"/>
    <n v="1.49"/>
    <x v="1"/>
    <n v="333"/>
    <n v="65"/>
    <s v="Delivered"/>
    <n v="13"/>
    <x v="0"/>
    <x v="0"/>
    <s v="None"/>
    <n v="35.000000000000036"/>
    <n v="0.99999999999999645"/>
    <n v="4.9999999999999822"/>
    <n v="15.000000000000107"/>
    <x v="0"/>
    <s v="Afternoon"/>
    <x v="0"/>
    <n v="9.9333333333332621E-2"/>
    <n v="43.624161073825505"/>
    <n v="0.19519519519519518"/>
    <s v="On-Time"/>
    <s v="No Delay"/>
  </r>
  <r>
    <s v="O159"/>
    <s v="19:51"/>
    <x v="1"/>
    <n v="39"/>
    <s v="20:30"/>
    <s v="20:35"/>
    <d v="1899-12-30T20:41:00"/>
    <s v="21:02"/>
    <n v="1.58"/>
    <x v="10"/>
    <n v="320"/>
    <n v="73"/>
    <s v="Delivered"/>
    <n v="11"/>
    <x v="1"/>
    <x v="0"/>
    <s v="Traffic"/>
    <n v="71.000000000000071"/>
    <n v="4.9999999999999822"/>
    <n v="5.9999999999999787"/>
    <n v="21.000000000000245"/>
    <x v="4"/>
    <s v="Peak Night"/>
    <x v="0"/>
    <n v="7.5238095238094368E-2"/>
    <n v="46.202531645569621"/>
    <n v="0.22812499999999999"/>
    <s v="Late"/>
    <s v="No Delay"/>
  </r>
  <r>
    <s v="O160"/>
    <s v="10:30"/>
    <x v="0"/>
    <n v="16"/>
    <s v="10:46"/>
    <s v="10:47"/>
    <d v="1899-12-30T10:51:00"/>
    <s v="11:13"/>
    <n v="1.96"/>
    <x v="14"/>
    <n v="289"/>
    <n v="74"/>
    <s v="Delivered"/>
    <n v="15"/>
    <x v="0"/>
    <x v="0"/>
    <s v="None"/>
    <n v="43.000000000000007"/>
    <n v="0.99999999999999645"/>
    <n v="3.9999999999999858"/>
    <n v="22"/>
    <x v="9"/>
    <s v="Late Morning"/>
    <x v="1"/>
    <n v="8.9090909090909096E-2"/>
    <n v="37.755102040816325"/>
    <n v="0.25605536332179929"/>
    <s v="On-Time"/>
    <s v="No Delay"/>
  </r>
  <r>
    <s v="O161"/>
    <s v="14:07"/>
    <x v="0"/>
    <n v="12"/>
    <s v="14:19"/>
    <s v="14:22"/>
    <d v="1899-12-30T14:24:00"/>
    <s v="14:58"/>
    <n v="5.63"/>
    <x v="19"/>
    <n v="364"/>
    <n v="102"/>
    <s v="Delivered"/>
    <n v="17"/>
    <x v="2"/>
    <x v="0"/>
    <s v="None"/>
    <n v="50.999999999999979"/>
    <n v="2.9999999999999893"/>
    <n v="1.9999999999999929"/>
    <n v="34.000000000000043"/>
    <x v="8"/>
    <s v="Afternoon"/>
    <x v="1"/>
    <n v="0.16558823529411743"/>
    <n v="18.117229129662523"/>
    <n v="0.28021978021978022"/>
    <s v="Late"/>
    <s v="No Delay"/>
  </r>
  <r>
    <s v="O162"/>
    <s v="13:50"/>
    <x v="0"/>
    <n v="12"/>
    <s v="14:02"/>
    <s v="14:02"/>
    <d v="1899-12-30T14:06:00"/>
    <s v="14:40"/>
    <n v="4.75"/>
    <x v="0"/>
    <n v="226"/>
    <n v="100"/>
    <s v="Delivered"/>
    <n v="14"/>
    <x v="0"/>
    <x v="0"/>
    <s v="None"/>
    <n v="49.999999999999822"/>
    <n v="0"/>
    <n v="3.9999999999999858"/>
    <n v="33.999999999999879"/>
    <x v="6"/>
    <s v="Afternoon"/>
    <x v="0"/>
    <n v="0.13970588235294168"/>
    <n v="21.05263157894737"/>
    <n v="0.44247787610619471"/>
    <s v="Late"/>
    <s v="No Delay"/>
  </r>
  <r>
    <s v="O163"/>
    <s v="17:54"/>
    <x v="1"/>
    <n v="28"/>
    <s v="18:22"/>
    <s v="18:29"/>
    <d v="1899-12-30T18:32:00"/>
    <s v="19:14"/>
    <n v="6.28"/>
    <x v="18"/>
    <n v="163"/>
    <n v="114"/>
    <s v="Delivered"/>
    <n v="16"/>
    <x v="0"/>
    <x v="0"/>
    <s v="Restaurant Delay"/>
    <n v="80.000000000000199"/>
    <n v="6.9999999999999751"/>
    <n v="2.9999999999999893"/>
    <n v="42.000000000000014"/>
    <x v="2"/>
    <s v="Evening"/>
    <x v="0"/>
    <n v="0.14952380952380948"/>
    <n v="18.152866242038215"/>
    <n v="0.69938650306748462"/>
    <s v="Late"/>
    <s v="No Delay"/>
  </r>
  <r>
    <s v="O164"/>
    <s v="12:43"/>
    <x v="0"/>
    <n v="20"/>
    <s v="13:03"/>
    <s v="13:06"/>
    <d v="1899-12-30T13:07:00"/>
    <s v="13:26"/>
    <n v="1.79"/>
    <x v="0"/>
    <n v="212"/>
    <n v="67"/>
    <s v="Delivered"/>
    <n v="18"/>
    <x v="0"/>
    <x v="0"/>
    <s v="None"/>
    <n v="43.000000000000007"/>
    <n v="2.9999999999998295"/>
    <n v="0.99999999999999645"/>
    <n v="19.000000000000092"/>
    <x v="0"/>
    <s v="Afternoon"/>
    <x v="0"/>
    <n v="9.4210526315789023E-2"/>
    <n v="37.430167597765362"/>
    <n v="0.31603773584905659"/>
    <s v="On-Time"/>
    <s v="No Delay"/>
  </r>
  <r>
    <s v="O165"/>
    <s v="18:36"/>
    <x v="0"/>
    <n v="11"/>
    <s v="18:47"/>
    <s v="18:50"/>
    <d v="1899-12-30T18:56:00"/>
    <s v="19:36"/>
    <n v="6.73"/>
    <x v="9"/>
    <n v="282"/>
    <n v="118"/>
    <s v="Delivered"/>
    <n v="17"/>
    <x v="0"/>
    <x v="0"/>
    <s v="Distance"/>
    <n v="60.000000000000107"/>
    <n v="2.9999999999998295"/>
    <n v="5.9999999999999787"/>
    <n v="40.000000000000178"/>
    <x v="3"/>
    <s v="Peak Night"/>
    <x v="0"/>
    <n v="0.16824999999999926"/>
    <n v="17.533432392273401"/>
    <n v="0.41843971631205673"/>
    <s v="Late"/>
    <s v="No Delay"/>
  </r>
  <r>
    <s v="O166"/>
    <s v="19:52"/>
    <x v="0"/>
    <n v="10"/>
    <s v="20:02"/>
    <s v="20:11"/>
    <d v="1899-12-30T20:20:00"/>
    <s v="21:10"/>
    <n v="7.9"/>
    <x v="7"/>
    <n v="273"/>
    <n v="137"/>
    <s v="Delivered"/>
    <n v="8"/>
    <x v="1"/>
    <x v="0"/>
    <s v="Traffic"/>
    <n v="78.000000000000043"/>
    <n v="8.999999999999968"/>
    <n v="8.999999999999968"/>
    <n v="50.000000000000142"/>
    <x v="4"/>
    <s v="Peak Night"/>
    <x v="0"/>
    <n v="0.15799999999999956"/>
    <n v="17.341772151898734"/>
    <n v="0.50183150183150182"/>
    <s v="Late"/>
    <s v="No Delay"/>
  </r>
  <r>
    <s v="O167"/>
    <s v="13:56"/>
    <x v="0"/>
    <n v="20"/>
    <s v="14:16"/>
    <s v="14:17"/>
    <d v="1899-12-30T14:19:00"/>
    <s v="15:02"/>
    <n v="5.69"/>
    <x v="16"/>
    <n v="397"/>
    <n v="111"/>
    <s v="Delivered"/>
    <n v="13"/>
    <x v="0"/>
    <x v="0"/>
    <s v="None"/>
    <n v="65.999999999999929"/>
    <n v="0.99999999999999645"/>
    <n v="1.9999999999999929"/>
    <n v="43.000000000000007"/>
    <x v="6"/>
    <s v="Afternoon"/>
    <x v="0"/>
    <n v="0.13232558139534883"/>
    <n v="19.507908611599294"/>
    <n v="0.27959697732997479"/>
    <s v="Late"/>
    <s v="No Delay"/>
  </r>
  <r>
    <s v="O168"/>
    <s v="17:11"/>
    <x v="0"/>
    <n v="17"/>
    <s v="17:28"/>
    <s v="17:29"/>
    <d v="1899-12-30T17:30:00"/>
    <s v="18:20"/>
    <n v="6.82"/>
    <x v="15"/>
    <n v="154"/>
    <n v="123"/>
    <s v="Delivered"/>
    <n v="12"/>
    <x v="0"/>
    <x v="0"/>
    <s v="Distance"/>
    <n v="68.999999999999915"/>
    <n v="1.0000000000001563"/>
    <n v="0.99999999999999645"/>
    <n v="49.999999999999822"/>
    <x v="2"/>
    <s v="Evening"/>
    <x v="0"/>
    <n v="0.13640000000000049"/>
    <n v="18.035190615835777"/>
    <n v="0.79870129870129869"/>
    <s v="Late"/>
    <s v="No Delay"/>
  </r>
  <r>
    <s v="O169"/>
    <s v="10:45"/>
    <x v="0"/>
    <n v="16"/>
    <s v="11:01"/>
    <s v="11:03"/>
    <d v="1899-12-30T11:08:00"/>
    <s v="11:43"/>
    <n v="4.7699999999999996"/>
    <x v="14"/>
    <n v="174"/>
    <n v="102"/>
    <s v="Delivered"/>
    <n v="18"/>
    <x v="0"/>
    <x v="0"/>
    <s v="None"/>
    <n v="57.999999999999957"/>
    <n v="1.9999999999999929"/>
    <n v="4.9999999999999822"/>
    <n v="34.999999999999957"/>
    <x v="9"/>
    <s v="Late Morning"/>
    <x v="1"/>
    <n v="0.13628571428571443"/>
    <n v="21.383647798742139"/>
    <n v="0.58620689655172409"/>
    <s v="Late"/>
    <s v="No Delay"/>
  </r>
  <r>
    <s v="O170"/>
    <s v="10:43"/>
    <x v="0"/>
    <n v="17"/>
    <s v="11:00"/>
    <s v="11:01"/>
    <d v="1899-12-30T11:05:00"/>
    <s v="11:39"/>
    <n v="5.17"/>
    <x v="6"/>
    <n v="248"/>
    <n v="102"/>
    <s v="Delivered"/>
    <n v="13"/>
    <x v="0"/>
    <x v="0"/>
    <s v="None"/>
    <n v="55.999999999999957"/>
    <n v="1.0000000000000764"/>
    <n v="3.9999999999999858"/>
    <n v="33.999999999999957"/>
    <x v="9"/>
    <s v="Late Morning"/>
    <x v="1"/>
    <n v="0.15205882352941194"/>
    <n v="19.729206963249517"/>
    <n v="0.41129032258064518"/>
    <s v="Late"/>
    <s v="No Delay"/>
  </r>
  <r>
    <s v="O171"/>
    <s v="16:09"/>
    <x v="0"/>
    <n v="15"/>
    <s v="16:24"/>
    <s v="16:24"/>
    <d v="1899-12-30T16:25:00"/>
    <s v="17:14"/>
    <n v="7.87"/>
    <x v="15"/>
    <n v="163"/>
    <n v="127"/>
    <s v="Delivered"/>
    <n v="20"/>
    <x v="2"/>
    <x v="0"/>
    <s v="Distance"/>
    <n v="65.000000000000085"/>
    <n v="0"/>
    <n v="0.99999999999999645"/>
    <n v="49.000000000000142"/>
    <x v="5"/>
    <s v="Evening"/>
    <x v="1"/>
    <n v="0.16061224489795872"/>
    <n v="16.137229987293519"/>
    <n v="0.77914110429447858"/>
    <s v="Late"/>
    <s v="No Delay"/>
  </r>
  <r>
    <s v="O172"/>
    <s v="10:45"/>
    <x v="0"/>
    <n v="12"/>
    <s v="10:57"/>
    <s v="10:57"/>
    <d v="1899-12-30T10:58:00"/>
    <s v="11:32"/>
    <n v="4.28"/>
    <x v="11"/>
    <n v="363"/>
    <n v="94"/>
    <s v="Delivered"/>
    <n v="13"/>
    <x v="0"/>
    <x v="0"/>
    <s v="None"/>
    <n v="46.999999999999993"/>
    <n v="0"/>
    <n v="0.99999999999999645"/>
    <n v="34.000000000000043"/>
    <x v="9"/>
    <s v="Late Morning"/>
    <x v="1"/>
    <n v="0.12588235294117631"/>
    <n v="21.962616822429904"/>
    <n v="0.25895316804407714"/>
    <s v="Late"/>
    <s v="No Delay"/>
  </r>
  <r>
    <s v="O173"/>
    <s v="16:45"/>
    <x v="1"/>
    <n v="37"/>
    <s v="17:22"/>
    <s v="17:30"/>
    <d v="1899-12-30T17:36:00"/>
    <s v="18:08"/>
    <n v="5.52"/>
    <x v="3"/>
    <n v="240"/>
    <n v="104"/>
    <s v="Delivered"/>
    <n v="19"/>
    <x v="2"/>
    <x v="0"/>
    <s v="Restaurant Delay"/>
    <n v="83.000000000000028"/>
    <n v="7.9999999999999716"/>
    <n v="5.9999999999999787"/>
    <n v="32.000000000000043"/>
    <x v="5"/>
    <s v="Evening"/>
    <x v="1"/>
    <n v="0.17249999999999976"/>
    <n v="18.840579710144929"/>
    <n v="0.43333333333333335"/>
    <s v="Late"/>
    <s v="No Delay"/>
  </r>
  <r>
    <s v="O174"/>
    <s v="10:50"/>
    <x v="0"/>
    <n v="17"/>
    <s v="11:07"/>
    <s v="11:09"/>
    <d v="1899-12-30T11:10:00"/>
    <s v="11:39"/>
    <n v="3.13"/>
    <x v="11"/>
    <n v="302"/>
    <n v="84"/>
    <s v="Delivered"/>
    <n v="12"/>
    <x v="0"/>
    <x v="0"/>
    <s v="None"/>
    <n v="48.999999999999986"/>
    <n v="1.9999999999999929"/>
    <n v="0.99999999999999645"/>
    <n v="28.999999999999979"/>
    <x v="9"/>
    <s v="Late Morning"/>
    <x v="1"/>
    <n v="0.1079310344827587"/>
    <n v="26.837060702875402"/>
    <n v="0.27814569536423839"/>
    <s v="Late"/>
    <s v="No Delay"/>
  </r>
  <r>
    <s v="O175"/>
    <s v="19:29"/>
    <x v="0"/>
    <n v="14"/>
    <s v="19:43"/>
    <s v="19:50"/>
    <d v="1899-12-30T19:59:00"/>
    <s v="20:48"/>
    <n v="6.51"/>
    <x v="17"/>
    <n v="283"/>
    <n v="129"/>
    <s v="Delivered"/>
    <n v="8"/>
    <x v="1"/>
    <x v="0"/>
    <s v="Traffic"/>
    <n v="79.000000000000043"/>
    <n v="6.9999999999999751"/>
    <n v="8.999999999999968"/>
    <n v="49.000000000000142"/>
    <x v="4"/>
    <s v="Peak Night"/>
    <x v="0"/>
    <n v="0.13285714285714248"/>
    <n v="19.815668202764979"/>
    <n v="0.45583038869257952"/>
    <s v="Late"/>
    <s v="No Delay"/>
  </r>
  <r>
    <s v="O176"/>
    <s v="19:49"/>
    <x v="0"/>
    <n v="10"/>
    <s v="19:59"/>
    <s v="20:01"/>
    <d v="1899-12-30T20:12:00"/>
    <s v="20:31"/>
    <n v="1.1000000000000001"/>
    <x v="7"/>
    <n v="244"/>
    <n v="74"/>
    <s v="Delivered"/>
    <n v="12"/>
    <x v="1"/>
    <x v="0"/>
    <s v="Traffic"/>
    <n v="42.000000000000014"/>
    <n v="1.999999999999833"/>
    <n v="10.999999999999961"/>
    <n v="19.000000000000092"/>
    <x v="4"/>
    <s v="Peak Night"/>
    <x v="0"/>
    <n v="5.7894736842104985E-2"/>
    <n v="67.272727272727266"/>
    <n v="0.30327868852459017"/>
    <s v="On-Time"/>
    <s v="No Delay"/>
  </r>
  <r>
    <s v="O177"/>
    <s v="10:35"/>
    <x v="0"/>
    <n v="19"/>
    <s v="10:54"/>
    <s v="10:54"/>
    <d v="1899-12-30T10:59:00"/>
    <s v="11:45"/>
    <n v="7.27"/>
    <x v="18"/>
    <n v="264"/>
    <n v="125"/>
    <s v="Delivered"/>
    <n v="12"/>
    <x v="0"/>
    <x v="0"/>
    <s v="Distance"/>
    <n v="69.999999999999915"/>
    <n v="0"/>
    <n v="4.9999999999999822"/>
    <n v="46"/>
    <x v="9"/>
    <s v="Late Morning"/>
    <x v="1"/>
    <n v="0.15804347826086956"/>
    <n v="17.1939477303989"/>
    <n v="0.47348484848484851"/>
    <s v="Late"/>
    <s v="No Delay"/>
  </r>
  <r>
    <s v="O178"/>
    <s v="18:32"/>
    <x v="0"/>
    <n v="18"/>
    <s v="18:50"/>
    <s v="18:52"/>
    <d v="1899-12-30T18:58:00"/>
    <s v="19:41"/>
    <n v="7.37"/>
    <x v="11"/>
    <n v="379"/>
    <n v="124"/>
    <s v="Delivered"/>
    <n v="12"/>
    <x v="0"/>
    <x v="0"/>
    <s v="Distance"/>
    <n v="68.999999999999915"/>
    <n v="1.9999999999999929"/>
    <n v="5.9999999999999787"/>
    <n v="43.000000000000007"/>
    <x v="3"/>
    <s v="Peak Night"/>
    <x v="0"/>
    <n v="0.17139534883720928"/>
    <n v="16.824966078697422"/>
    <n v="0.32717678100263853"/>
    <s v="Late"/>
    <s v="No Delay"/>
  </r>
  <r>
    <s v="O179"/>
    <s v="12:31"/>
    <x v="0"/>
    <n v="16"/>
    <s v="12:47"/>
    <s v="12:49"/>
    <d v="1899-12-30T12:54:00"/>
    <s v="13:24"/>
    <n v="3.95"/>
    <x v="16"/>
    <n v="368"/>
    <n v="93"/>
    <s v="Delivered"/>
    <n v="14"/>
    <x v="0"/>
    <x v="0"/>
    <s v="None"/>
    <n v="52.999999999999972"/>
    <n v="1.9999999999999929"/>
    <n v="4.9999999999999822"/>
    <n v="30.000000000000053"/>
    <x v="0"/>
    <s v="Afternoon"/>
    <x v="0"/>
    <n v="0.13166666666666643"/>
    <n v="23.544303797468352"/>
    <n v="0.25271739130434784"/>
    <s v="Late"/>
    <s v="No Delay"/>
  </r>
  <r>
    <s v="O180"/>
    <s v="16:17"/>
    <x v="1"/>
    <n v="27"/>
    <s v="16:44"/>
    <s v="16:51"/>
    <d v="1899-12-30T16:54:00"/>
    <s v="17:32"/>
    <n v="6.74"/>
    <x v="7"/>
    <n v="251"/>
    <n v="113"/>
    <s v="Delivered"/>
    <n v="20"/>
    <x v="2"/>
    <x v="0"/>
    <s v="Restaurant Delay"/>
    <n v="75.000000000000057"/>
    <n v="6.9999999999999751"/>
    <n v="2.9999999999999893"/>
    <n v="38.000000000000028"/>
    <x v="5"/>
    <s v="Evening"/>
    <x v="1"/>
    <n v="0.17736842105263145"/>
    <n v="16.765578635014837"/>
    <n v="0.45019920318725098"/>
    <s v="Late"/>
    <s v="No Delay"/>
  </r>
  <r>
    <s v="O181"/>
    <s v="14:50"/>
    <x v="0"/>
    <n v="19"/>
    <s v="15:09"/>
    <s v="15:11"/>
    <d v="1899-12-30T15:16:00"/>
    <s v="15:47"/>
    <n v="5.96"/>
    <x v="2"/>
    <n v="182"/>
    <n v="104"/>
    <s v="Delivered"/>
    <n v="15"/>
    <x v="2"/>
    <x v="0"/>
    <s v="None"/>
    <n v="56.999999999999957"/>
    <n v="1.9999999999999929"/>
    <n v="4.9999999999999822"/>
    <n v="31.00000000000005"/>
    <x v="8"/>
    <s v="Afternoon"/>
    <x v="1"/>
    <n v="0.19225806451612873"/>
    <n v="17.449664429530202"/>
    <n v="0.5714285714285714"/>
    <s v="Late"/>
    <s v="No Delay"/>
  </r>
  <r>
    <s v="O182"/>
    <s v="19:24"/>
    <x v="0"/>
    <n v="14"/>
    <s v="19:38"/>
    <s v="19:48"/>
    <d v="1899-12-30T19:54:00"/>
    <s v="20:16"/>
    <n v="1.69"/>
    <x v="6"/>
    <n v="338"/>
    <n v="74"/>
    <s v="Delivered"/>
    <n v="9"/>
    <x v="1"/>
    <x v="0"/>
    <s v="Traffic"/>
    <n v="52.000000000000135"/>
    <n v="10.000000000000124"/>
    <n v="5.9999999999999787"/>
    <n v="21.999999999999922"/>
    <x v="4"/>
    <s v="Peak Night"/>
    <x v="0"/>
    <n v="7.6818181818182091E-2"/>
    <n v="43.786982248520708"/>
    <n v="0.21893491124260356"/>
    <s v="Late"/>
    <s v="No Delay"/>
  </r>
  <r>
    <s v="O183"/>
    <s v="15:08"/>
    <x v="0"/>
    <n v="13"/>
    <s v="15:21"/>
    <s v="15:23"/>
    <d v="1899-12-30T15:29:00"/>
    <s v="15:54"/>
    <n v="4.8499999999999996"/>
    <x v="6"/>
    <n v="370"/>
    <n v="93"/>
    <s v="Delivered"/>
    <n v="19"/>
    <x v="2"/>
    <x v="0"/>
    <s v="None"/>
    <n v="46"/>
    <n v="1.9999999999999929"/>
    <n v="5.9999999999999787"/>
    <n v="25.000000000000071"/>
    <x v="7"/>
    <s v="Evening"/>
    <x v="1"/>
    <n v="0.19399999999999942"/>
    <n v="19.175257731958766"/>
    <n v="0.25135135135135134"/>
    <s v="Late"/>
    <s v="No Delay"/>
  </r>
  <r>
    <s v="O184"/>
    <s v="12:16"/>
    <x v="1"/>
    <n v="36"/>
    <s v="12:52"/>
    <s v="12:59"/>
    <d v="1899-12-30T13:01:00"/>
    <s v="13:22"/>
    <n v="1.26"/>
    <x v="7"/>
    <n v="191"/>
    <n v="67"/>
    <s v="Delivered"/>
    <n v="18"/>
    <x v="0"/>
    <x v="0"/>
    <s v="Restaurant Delay"/>
    <n v="65.999999999999929"/>
    <n v="6.9999999999999751"/>
    <n v="1.9999999999999929"/>
    <n v="21.000000000000085"/>
    <x v="0"/>
    <s v="Afternoon"/>
    <x v="0"/>
    <n v="5.9999999999999755E-2"/>
    <n v="53.174603174603178"/>
    <n v="0.35078534031413611"/>
    <s v="Late"/>
    <s v="No Delay"/>
  </r>
  <r>
    <s v="O185"/>
    <s v="10:41"/>
    <x v="0"/>
    <n v="20"/>
    <s v="11:01"/>
    <s v="11:02"/>
    <d v="1899-12-30T11:05:00"/>
    <s v="11:37"/>
    <n v="3.97"/>
    <x v="9"/>
    <n v="300"/>
    <n v="93"/>
    <s v="Delivered"/>
    <n v="17"/>
    <x v="0"/>
    <x v="0"/>
    <s v="None"/>
    <n v="55.999999999999957"/>
    <n v="0.99999999999991651"/>
    <n v="2.9999999999999893"/>
    <n v="32.000000000000043"/>
    <x v="9"/>
    <s v="Late Morning"/>
    <x v="1"/>
    <n v="0.12406249999999984"/>
    <n v="23.425692695214103"/>
    <n v="0.31"/>
    <s v="Late"/>
    <s v="No Delay"/>
  </r>
  <r>
    <s v="O186"/>
    <s v="20:00"/>
    <x v="0"/>
    <n v="14"/>
    <s v="20:14"/>
    <s v="20:16"/>
    <d v="1899-12-30T20:28:00"/>
    <s v="21:08"/>
    <n v="6.47"/>
    <x v="8"/>
    <n v="235"/>
    <n v="122"/>
    <s v="Delivered"/>
    <n v="11"/>
    <x v="1"/>
    <x v="0"/>
    <s v="Traffic"/>
    <n v="67.999999999999915"/>
    <n v="1.9999999999999929"/>
    <n v="11.999999999999957"/>
    <n v="40.000000000000014"/>
    <x v="10"/>
    <s v="Peak Night"/>
    <x v="0"/>
    <n v="0.16174999999999995"/>
    <n v="18.856259659969091"/>
    <n v="0.51914893617021274"/>
    <s v="Late"/>
    <s v="No Delay"/>
  </r>
  <r>
    <s v="O187"/>
    <s v="16:03"/>
    <x v="0"/>
    <n v="20"/>
    <s v="16:23"/>
    <s v="16:23"/>
    <d v="1899-12-30T16:29:00"/>
    <s v="17:09"/>
    <n v="7.87"/>
    <x v="7"/>
    <n v="380"/>
    <n v="123"/>
    <s v="Delivered"/>
    <n v="15"/>
    <x v="2"/>
    <x v="0"/>
    <s v="None"/>
    <n v="65.999999999999773"/>
    <n v="0"/>
    <n v="5.9999999999999787"/>
    <n v="39.999999999999858"/>
    <x v="5"/>
    <s v="Evening"/>
    <x v="1"/>
    <n v="0.1967500000000007"/>
    <n v="15.628970775095299"/>
    <n v="0.3236842105263158"/>
    <s v="Late"/>
    <s v="No Delay"/>
  </r>
  <r>
    <s v="O188"/>
    <s v="10:40"/>
    <x v="1"/>
    <n v="27"/>
    <s v="11:07"/>
    <s v="11:16"/>
    <d v="1899-12-30T11:21:00"/>
    <s v="11:35"/>
    <n v="1.25"/>
    <x v="2"/>
    <n v="263"/>
    <n v="63"/>
    <s v="Delivered"/>
    <n v="16"/>
    <x v="0"/>
    <x v="0"/>
    <s v="Restaurant Delay"/>
    <n v="55.000000000000043"/>
    <n v="9.000000000000048"/>
    <n v="4.9999999999999822"/>
    <n v="13.99999999999995"/>
    <x v="9"/>
    <s v="Late Morning"/>
    <x v="1"/>
    <n v="8.9285714285714607E-2"/>
    <n v="50.4"/>
    <n v="0.23954372623574144"/>
    <s v="Late"/>
    <s v="No Delay"/>
  </r>
  <r>
    <s v="O189"/>
    <s v="14:08"/>
    <x v="0"/>
    <n v="15"/>
    <s v="14:23"/>
    <s v="14:23"/>
    <d v="1899-12-30T14:29:00"/>
    <s v="15:11"/>
    <n v="7.61"/>
    <x v="0"/>
    <n v="196"/>
    <n v="124"/>
    <s v="Delivered"/>
    <n v="17"/>
    <x v="2"/>
    <x v="0"/>
    <s v="Distance"/>
    <n v="62.999999999999936"/>
    <n v="0"/>
    <n v="5.9999999999999787"/>
    <n v="42.000000000000014"/>
    <x v="8"/>
    <s v="Afternoon"/>
    <x v="1"/>
    <n v="0.18119047619047612"/>
    <n v="16.294349540078844"/>
    <n v="0.63265306122448983"/>
    <s v="Late"/>
    <s v="No Delay"/>
  </r>
  <r>
    <s v="O190"/>
    <s v="15:04"/>
    <x v="0"/>
    <n v="19"/>
    <s v="15:23"/>
    <s v="15:23"/>
    <d v="1899-12-30T15:29:00"/>
    <s v="15:55"/>
    <n v="4.32"/>
    <x v="13"/>
    <n v="388"/>
    <n v="92"/>
    <s v="Delivered"/>
    <n v="18"/>
    <x v="2"/>
    <x v="0"/>
    <s v="None"/>
    <n v="50.999999999999979"/>
    <n v="0"/>
    <n v="5.9999999999999787"/>
    <n v="26.000000000000068"/>
    <x v="7"/>
    <s v="Evening"/>
    <x v="1"/>
    <n v="0.16615384615384574"/>
    <n v="21.296296296296294"/>
    <n v="0.23711340206185566"/>
    <s v="Late"/>
    <s v="No Delay"/>
  </r>
  <r>
    <s v="O191"/>
    <s v="19:51"/>
    <x v="0"/>
    <n v="16"/>
    <s v="20:07"/>
    <s v="20:10"/>
    <d v="1899-12-30T20:17:00"/>
    <s v="20:48"/>
    <n v="3.37"/>
    <x v="3"/>
    <n v="281"/>
    <n v="93"/>
    <s v="Delivered"/>
    <n v="12"/>
    <x v="1"/>
    <x v="0"/>
    <s v="Traffic"/>
    <n v="56.999999999999957"/>
    <n v="2.9999999999999893"/>
    <n v="6.9999999999999751"/>
    <n v="31.00000000000005"/>
    <x v="4"/>
    <s v="Peak Night"/>
    <x v="0"/>
    <n v="0.10870967741935467"/>
    <n v="27.596439169139465"/>
    <n v="0.33096085409252668"/>
    <s v="Late"/>
    <s v="No Delay"/>
  </r>
  <r>
    <s v="O192"/>
    <s v="19:37"/>
    <x v="0"/>
    <n v="18"/>
    <s v="19:55"/>
    <s v="19:58"/>
    <d v="1899-12-30T20:08:00"/>
    <s v="20:52"/>
    <n v="5.76"/>
    <x v="16"/>
    <n v="192"/>
    <n v="121"/>
    <s v="Delivered"/>
    <n v="11"/>
    <x v="1"/>
    <x v="0"/>
    <s v="Traffic"/>
    <n v="75.000000000000057"/>
    <n v="2.9999999999998295"/>
    <n v="9.9999999999999645"/>
    <n v="44.000000000000163"/>
    <x v="4"/>
    <s v="Peak Night"/>
    <x v="0"/>
    <n v="0.13090909090909042"/>
    <n v="21.006944444444446"/>
    <n v="0.63020833333333337"/>
    <s v="Late"/>
    <s v="No Delay"/>
  </r>
  <r>
    <s v="O193"/>
    <s v="18:57"/>
    <x v="0"/>
    <n v="16"/>
    <s v="19:13"/>
    <s v="19:15"/>
    <d v="1899-12-30T19:21:00"/>
    <s v="19:45"/>
    <n v="2.81"/>
    <x v="15"/>
    <n v="350"/>
    <n v="82"/>
    <s v="Failed"/>
    <n v="16"/>
    <x v="0"/>
    <x v="1"/>
    <s v="Restaurant Delay"/>
    <n v="47.999999999999986"/>
    <n v="2.0000000000001528"/>
    <n v="5.9999999999999787"/>
    <n v="23.999999999999915"/>
    <x v="3"/>
    <s v="Peak Night"/>
    <x v="0"/>
    <n v="0.11708333333333375"/>
    <n v="29.181494661921707"/>
    <n v="0.23428571428571429"/>
    <s v="Late"/>
    <s v="Restaurant Delay"/>
  </r>
  <r>
    <s v="O194"/>
    <s v="17:48"/>
    <x v="0"/>
    <n v="13"/>
    <s v="18:01"/>
    <s v="18:04"/>
    <d v="1899-12-30T18:05:00"/>
    <s v="18:31"/>
    <n v="2.46"/>
    <x v="9"/>
    <n v="328"/>
    <n v="77"/>
    <s v="Delivered"/>
    <n v="16"/>
    <x v="0"/>
    <x v="0"/>
    <s v="None"/>
    <n v="42.999999999999844"/>
    <n v="2.9999999999999893"/>
    <n v="0.99999999999999645"/>
    <n v="25.999999999999908"/>
    <x v="2"/>
    <s v="Evening"/>
    <x v="0"/>
    <n v="9.4615384615384948E-2"/>
    <n v="31.300813008130081"/>
    <n v="0.2347560975609756"/>
    <s v="On-Time"/>
    <s v="No Delay"/>
  </r>
  <r>
    <s v="O195"/>
    <s v="16:33"/>
    <x v="0"/>
    <n v="10"/>
    <s v="16:43"/>
    <s v="16:43"/>
    <d v="1899-12-30T16:48:00"/>
    <s v="17:07"/>
    <n v="3.49"/>
    <x v="10"/>
    <n v="288"/>
    <n v="79"/>
    <s v="Delivered"/>
    <n v="20"/>
    <x v="2"/>
    <x v="0"/>
    <s v="None"/>
    <n v="34.000000000000043"/>
    <n v="0"/>
    <n v="4.9999999999999822"/>
    <n v="19.000000000000092"/>
    <x v="5"/>
    <s v="Evening"/>
    <x v="1"/>
    <n v="0.18368421052631489"/>
    <n v="22.636103151862464"/>
    <n v="0.27430555555555558"/>
    <s v="On-Time"/>
    <s v="No Delay"/>
  </r>
  <r>
    <s v="O196"/>
    <s v="15:13"/>
    <x v="0"/>
    <n v="15"/>
    <s v="15:28"/>
    <s v="15:28"/>
    <d v="1899-12-30T15:34:00"/>
    <s v="16:02"/>
    <n v="5.12"/>
    <x v="18"/>
    <n v="170"/>
    <n v="98"/>
    <s v="Delivered"/>
    <n v="17"/>
    <x v="2"/>
    <x v="0"/>
    <s v="None"/>
    <n v="49.000000000000142"/>
    <n v="0"/>
    <n v="5.9999999999999787"/>
    <n v="28.00000000000006"/>
    <x v="7"/>
    <s v="Evening"/>
    <x v="1"/>
    <n v="0.18285714285714247"/>
    <n v="19.140625"/>
    <n v="0.57647058823529407"/>
    <s v="Late"/>
    <s v="No Delay"/>
  </r>
  <r>
    <s v="O197"/>
    <s v="12:02"/>
    <x v="0"/>
    <n v="20"/>
    <s v="12:22"/>
    <s v="12:24"/>
    <d v="1899-12-30T12:25:00"/>
    <s v="13:09"/>
    <n v="6.47"/>
    <x v="18"/>
    <n v="305"/>
    <n v="115"/>
    <s v="Delivered"/>
    <n v="12"/>
    <x v="0"/>
    <x v="0"/>
    <s v="Distance"/>
    <n v="67.000000000000085"/>
    <n v="1.9999999999999929"/>
    <n v="0.99999999999999645"/>
    <n v="44"/>
    <x v="0"/>
    <s v="Afternoon"/>
    <x v="0"/>
    <n v="0.14704545454545453"/>
    <n v="17.77434312210201"/>
    <n v="0.37704918032786883"/>
    <s v="Late"/>
    <s v="No Delay"/>
  </r>
  <r>
    <s v="O198"/>
    <s v="13:58"/>
    <x v="1"/>
    <n v="30"/>
    <s v="14:28"/>
    <s v="14:38"/>
    <d v="1899-12-30T14:40:00"/>
    <s v="15:25"/>
    <n v="6.25"/>
    <x v="5"/>
    <n v="225"/>
    <n v="116"/>
    <s v="Delivered"/>
    <n v="18"/>
    <x v="0"/>
    <x v="0"/>
    <s v="Restaurant Delay"/>
    <n v="86.999999999999858"/>
    <n v="9.9999999999999645"/>
    <n v="1.9999999999999929"/>
    <n v="45"/>
    <x v="6"/>
    <s v="Afternoon"/>
    <x v="0"/>
    <n v="0.1388888888888889"/>
    <n v="18.559999999999999"/>
    <n v="0.51555555555555554"/>
    <s v="Late"/>
    <s v="No Delay"/>
  </r>
  <r>
    <s v="O199"/>
    <s v="17:10"/>
    <x v="0"/>
    <n v="17"/>
    <s v="17:27"/>
    <s v="17:30"/>
    <d v="1899-12-30T17:31:00"/>
    <s v="18:19"/>
    <n v="7.58"/>
    <x v="10"/>
    <n v="305"/>
    <n v="125"/>
    <s v="Delivered"/>
    <n v="18"/>
    <x v="0"/>
    <x v="0"/>
    <s v="Distance"/>
    <n v="68.999999999999915"/>
    <n v="2.9999999999999893"/>
    <n v="0.99999999999999645"/>
    <n v="47.999999999999986"/>
    <x v="2"/>
    <s v="Evening"/>
    <x v="0"/>
    <n v="0.15791666666666671"/>
    <n v="16.490765171503959"/>
    <n v="0.4098360655737705"/>
    <s v="Late"/>
    <s v="No Delay"/>
  </r>
  <r>
    <s v="O200"/>
    <s v="14:06"/>
    <x v="0"/>
    <n v="13"/>
    <s v="14:19"/>
    <s v="14:20"/>
    <d v="1899-12-30T14:23:00"/>
    <s v="14:48"/>
    <n v="3.66"/>
    <x v="4"/>
    <n v="226"/>
    <n v="84"/>
    <s v="Delivered"/>
    <n v="20"/>
    <x v="2"/>
    <x v="0"/>
    <s v="None"/>
    <n v="42.000000000000014"/>
    <n v="0.99999999999999645"/>
    <n v="2.9999999999999893"/>
    <n v="25.000000000000071"/>
    <x v="8"/>
    <s v="Afternoon"/>
    <x v="1"/>
    <n v="0.14639999999999959"/>
    <n v="22.950819672131146"/>
    <n v="0.37168141592920356"/>
    <s v="On-Time"/>
    <s v="No Delay"/>
  </r>
  <r>
    <s v="O201"/>
    <s v="10:01"/>
    <x v="0"/>
    <n v="20"/>
    <s v="10:21"/>
    <s v="10:22"/>
    <d v="1899-12-30T10:27:00"/>
    <s v="10:59"/>
    <n v="4.49"/>
    <x v="7"/>
    <n v="261"/>
    <n v="97"/>
    <s v="Failed"/>
    <n v="14"/>
    <x v="0"/>
    <x v="1"/>
    <s v="Restaurant Delay"/>
    <n v="57.999999999999957"/>
    <n v="1.0000000000000764"/>
    <n v="4.9999999999999822"/>
    <n v="31.999999999999964"/>
    <x v="9"/>
    <s v="Late Morning"/>
    <x v="1"/>
    <n v="0.14031250000000017"/>
    <n v="21.603563474387528"/>
    <n v="0.37164750957854409"/>
    <s v="Late"/>
    <s v="Restaurant Delay"/>
  </r>
  <r>
    <s v="O202"/>
    <s v="15:50"/>
    <x v="0"/>
    <n v="18"/>
    <s v="16:08"/>
    <s v="16:08"/>
    <d v="1899-12-30T16:10:00"/>
    <s v="16:54"/>
    <n v="7.57"/>
    <x v="7"/>
    <n v="224"/>
    <n v="122"/>
    <s v="Delivered"/>
    <n v="18"/>
    <x v="2"/>
    <x v="0"/>
    <s v="Distance"/>
    <n v="63.999999999999929"/>
    <n v="0"/>
    <n v="1.9999999999999929"/>
    <n v="44"/>
    <x v="7"/>
    <s v="Evening"/>
    <x v="1"/>
    <n v="0.17204545454545456"/>
    <n v="16.116248348745046"/>
    <n v="0.5446428571428571"/>
    <s v="Late"/>
    <s v="No Delay"/>
  </r>
  <r>
    <s v="O203"/>
    <s v="14:42"/>
    <x v="0"/>
    <n v="14"/>
    <s v="14:56"/>
    <s v="14:57"/>
    <d v="1899-12-30T15:00:00"/>
    <s v="15:31"/>
    <n v="4.4400000000000004"/>
    <x v="16"/>
    <n v="341"/>
    <n v="94"/>
    <s v="Delivered"/>
    <n v="15"/>
    <x v="2"/>
    <x v="0"/>
    <s v="None"/>
    <n v="49.000000000000142"/>
    <n v="0.99999999999999645"/>
    <n v="2.9999999999999893"/>
    <n v="31.00000000000005"/>
    <x v="8"/>
    <s v="Afternoon"/>
    <x v="1"/>
    <n v="0.14322580645161267"/>
    <n v="21.171171171171171"/>
    <n v="0.2756598240469208"/>
    <s v="Late"/>
    <s v="No Delay"/>
  </r>
  <r>
    <s v="O204"/>
    <s v="17:27"/>
    <x v="0"/>
    <n v="13"/>
    <s v="17:40"/>
    <s v="17:41"/>
    <d v="1899-12-30T17:44:00"/>
    <s v="18:18"/>
    <n v="5.18"/>
    <x v="10"/>
    <n v="386"/>
    <n v="101"/>
    <s v="Delivered"/>
    <n v="12"/>
    <x v="0"/>
    <x v="0"/>
    <s v="None"/>
    <n v="51.000000000000142"/>
    <n v="0.99999999999999645"/>
    <n v="2.9999999999999893"/>
    <n v="34.000000000000043"/>
    <x v="2"/>
    <s v="Evening"/>
    <x v="0"/>
    <n v="0.15235294117647039"/>
    <n v="19.498069498069498"/>
    <n v="0.26165803108808289"/>
    <s v="Late"/>
    <s v="No Delay"/>
  </r>
  <r>
    <s v="O205"/>
    <s v="11:09"/>
    <x v="0"/>
    <n v="20"/>
    <s v="11:29"/>
    <s v="11:29"/>
    <d v="1899-12-30T11:33:00"/>
    <s v="12:14"/>
    <n v="6.12"/>
    <x v="7"/>
    <n v="158"/>
    <n v="114"/>
    <s v="Failed"/>
    <n v="12"/>
    <x v="0"/>
    <x v="1"/>
    <s v="Restaurant Delay"/>
    <n v="64.999999999999929"/>
    <n v="0"/>
    <n v="3.9999999999999858"/>
    <n v="41.000000000000014"/>
    <x v="1"/>
    <s v="Late Morning"/>
    <x v="1"/>
    <n v="0.14926829268292677"/>
    <n v="18.627450980392158"/>
    <n v="0.72151898734177211"/>
    <s v="Late"/>
    <s v="Restaurant Delay"/>
  </r>
  <r>
    <s v="O206"/>
    <s v="15:47"/>
    <x v="0"/>
    <n v="10"/>
    <s v="15:57"/>
    <s v="16:00"/>
    <d v="1899-12-30T16:05:00"/>
    <s v="16:31"/>
    <n v="4.91"/>
    <x v="11"/>
    <n v="225"/>
    <n v="94"/>
    <s v="Delivered"/>
    <n v="19"/>
    <x v="2"/>
    <x v="0"/>
    <s v="None"/>
    <n v="44"/>
    <n v="2.9999999999999893"/>
    <n v="4.9999999999999822"/>
    <n v="26.000000000000068"/>
    <x v="7"/>
    <s v="Evening"/>
    <x v="1"/>
    <n v="0.18884615384615336"/>
    <n v="19.144602851323828"/>
    <n v="0.4177777777777778"/>
    <s v="On-Time"/>
    <s v="No Delay"/>
  </r>
  <r>
    <s v="O207"/>
    <s v="19:23"/>
    <x v="0"/>
    <n v="13"/>
    <s v="19:36"/>
    <s v="19:41"/>
    <d v="1899-12-30T19:49:00"/>
    <s v="20:19"/>
    <n v="3.74"/>
    <x v="15"/>
    <n v="292"/>
    <n v="95"/>
    <s v="Delivered"/>
    <n v="9"/>
    <x v="1"/>
    <x v="0"/>
    <s v="Traffic"/>
    <n v="55.999999999999957"/>
    <n v="4.9999999999998224"/>
    <n v="7.9999999999999716"/>
    <n v="30.000000000000053"/>
    <x v="4"/>
    <s v="Peak Night"/>
    <x v="0"/>
    <n v="0.12466666666666645"/>
    <n v="25.401069518716575"/>
    <n v="0.32534246575342468"/>
    <s v="Late"/>
    <s v="No Delay"/>
  </r>
  <r>
    <s v="O208"/>
    <s v="10:36"/>
    <x v="0"/>
    <n v="16"/>
    <s v="10:52"/>
    <s v="10:52"/>
    <d v="1899-12-30T10:53:00"/>
    <s v="11:28"/>
    <n v="4.9400000000000004"/>
    <x v="1"/>
    <n v="205"/>
    <n v="99"/>
    <s v="Delivered"/>
    <n v="12"/>
    <x v="0"/>
    <x v="0"/>
    <s v="None"/>
    <n v="52.000000000000057"/>
    <n v="0"/>
    <n v="0.99999999999999645"/>
    <n v="35.000000000000036"/>
    <x v="9"/>
    <s v="Late Morning"/>
    <x v="1"/>
    <n v="0.14114285714285701"/>
    <n v="20.040485829959511"/>
    <n v="0.48292682926829267"/>
    <s v="Late"/>
    <s v="No Delay"/>
  </r>
  <r>
    <s v="O209"/>
    <s v="13:00"/>
    <x v="0"/>
    <n v="11"/>
    <s v="13:11"/>
    <s v="13:12"/>
    <d v="1899-12-30T13:15:00"/>
    <s v="14:01"/>
    <n v="7.15"/>
    <x v="1"/>
    <n v="188"/>
    <n v="123"/>
    <s v="Failed"/>
    <n v="12"/>
    <x v="0"/>
    <x v="1"/>
    <s v="Restaurant Delay"/>
    <n v="61.000000000000099"/>
    <n v="0.99999999999983658"/>
    <n v="2.9999999999999893"/>
    <n v="46.000000000000156"/>
    <x v="6"/>
    <s v="Afternoon"/>
    <x v="0"/>
    <n v="0.15543478260869514"/>
    <n v="17.202797202797203"/>
    <n v="0.6542553191489362"/>
    <s v="Late"/>
    <s v="Restaurant Delay"/>
  </r>
  <r>
    <s v="O210"/>
    <s v="10:44"/>
    <x v="0"/>
    <n v="15"/>
    <s v="10:59"/>
    <s v="11:00"/>
    <d v="1899-12-30T11:03:00"/>
    <s v="11:24"/>
    <n v="1.62"/>
    <x v="19"/>
    <n v="320"/>
    <n v="70"/>
    <s v="Delivered"/>
    <n v="12"/>
    <x v="0"/>
    <x v="0"/>
    <s v="None"/>
    <n v="40.000000000000099"/>
    <n v="0.99999999999999645"/>
    <n v="2.9999999999999893"/>
    <n v="21.000000000000085"/>
    <x v="9"/>
    <s v="Late Morning"/>
    <x v="1"/>
    <n v="7.7142857142856833E-2"/>
    <n v="43.209876543209873"/>
    <n v="0.21875"/>
    <s v="On-Time"/>
    <s v="No Delay"/>
  </r>
  <r>
    <s v="O211"/>
    <s v="12:02"/>
    <x v="1"/>
    <n v="26"/>
    <s v="12:28"/>
    <s v="12:38"/>
    <d v="1899-12-30T12:41:00"/>
    <s v="13:04"/>
    <n v="1.81"/>
    <x v="16"/>
    <n v="223"/>
    <n v="73"/>
    <s v="Delivered"/>
    <n v="17"/>
    <x v="0"/>
    <x v="0"/>
    <s v="Restaurant Delay"/>
    <n v="61.999999999999943"/>
    <n v="9.9999999999999645"/>
    <n v="2.9999999999999893"/>
    <n v="22.999999999999918"/>
    <x v="0"/>
    <s v="Afternoon"/>
    <x v="0"/>
    <n v="7.8695652173913319E-2"/>
    <n v="40.331491712707184"/>
    <n v="0.3273542600896861"/>
    <s v="Late"/>
    <s v="No Delay"/>
  </r>
  <r>
    <s v="O212"/>
    <s v="18:59"/>
    <x v="0"/>
    <n v="13"/>
    <s v="19:12"/>
    <s v="19:13"/>
    <d v="1899-12-30T19:14:00"/>
    <s v="19:55"/>
    <n v="6.07"/>
    <x v="15"/>
    <n v="241"/>
    <n v="110"/>
    <s v="Delivered"/>
    <n v="17"/>
    <x v="0"/>
    <x v="0"/>
    <s v="Distance"/>
    <n v="55.999999999999957"/>
    <n v="0.99999999999999645"/>
    <n v="0.99999999999999645"/>
    <n v="41.000000000000171"/>
    <x v="3"/>
    <s v="Peak Night"/>
    <x v="0"/>
    <n v="0.14804878048780426"/>
    <n v="18.121911037891266"/>
    <n v="0.45643153526970953"/>
    <s v="Late"/>
    <s v="No Delay"/>
  </r>
  <r>
    <s v="O213"/>
    <s v="16:31"/>
    <x v="0"/>
    <n v="16"/>
    <s v="16:47"/>
    <s v="16:50"/>
    <d v="1899-12-30T16:53:00"/>
    <s v="17:37"/>
    <n v="7.52"/>
    <x v="19"/>
    <n v="383"/>
    <n v="123"/>
    <s v="Delivered"/>
    <n v="15"/>
    <x v="2"/>
    <x v="0"/>
    <s v="Distance"/>
    <n v="66.000000000000085"/>
    <n v="2.9999999999998295"/>
    <n v="2.9999999999999893"/>
    <n v="44.000000000000163"/>
    <x v="5"/>
    <s v="Evening"/>
    <x v="1"/>
    <n v="0.17090909090909026"/>
    <n v="16.356382978723406"/>
    <n v="0.32114882506527415"/>
    <s v="Late"/>
    <s v="No Delay"/>
  </r>
  <r>
    <s v="O214"/>
    <s v="11:56"/>
    <x v="0"/>
    <n v="16"/>
    <s v="12:12"/>
    <s v="12:14"/>
    <d v="1899-12-30T12:18:00"/>
    <s v="12:45"/>
    <n v="3.13"/>
    <x v="12"/>
    <n v="244"/>
    <n v="85"/>
    <s v="Delivered"/>
    <n v="14"/>
    <x v="0"/>
    <x v="0"/>
    <s v="None"/>
    <n v="48.999999999999986"/>
    <n v="1.9999999999999929"/>
    <n v="3.9999999999999858"/>
    <n v="27.000000000000064"/>
    <x v="1"/>
    <s v="Late Morning"/>
    <x v="1"/>
    <n v="0.11592592592592564"/>
    <n v="27.156549520766774"/>
    <n v="0.34836065573770492"/>
    <s v="Late"/>
    <s v="No Delay"/>
  </r>
  <r>
    <s v="O215"/>
    <s v="17:47"/>
    <x v="0"/>
    <n v="15"/>
    <s v="18:02"/>
    <s v="18:04"/>
    <d v="1899-12-30T18:06:00"/>
    <s v="18:41"/>
    <n v="4.58"/>
    <x v="2"/>
    <n v="193"/>
    <n v="98"/>
    <s v="Delivered"/>
    <n v="15"/>
    <x v="0"/>
    <x v="0"/>
    <s v="None"/>
    <n v="53.999999999999972"/>
    <n v="1.999999999999833"/>
    <n v="1.9999999999999929"/>
    <n v="35.000000000000036"/>
    <x v="2"/>
    <s v="Evening"/>
    <x v="0"/>
    <n v="0.13085714285714273"/>
    <n v="21.397379912663755"/>
    <n v="0.50777202072538863"/>
    <s v="Late"/>
    <s v="No Delay"/>
  </r>
  <r>
    <s v="O216"/>
    <s v="19:40"/>
    <x v="1"/>
    <n v="29"/>
    <s v="20:09"/>
    <s v="20:15"/>
    <d v="1899-12-30T20:22:00"/>
    <s v="21:06"/>
    <n v="5.51"/>
    <x v="8"/>
    <n v="170"/>
    <n v="117"/>
    <s v="Delivered"/>
    <n v="9"/>
    <x v="1"/>
    <x v="0"/>
    <s v="Traffic"/>
    <n v="86.000000000000014"/>
    <n v="6.0000000000001386"/>
    <n v="6.9999999999999751"/>
    <n v="44.000000000000163"/>
    <x v="4"/>
    <s v="Peak Night"/>
    <x v="0"/>
    <n v="0.12522727272727227"/>
    <n v="21.234119782214158"/>
    <n v="0.68823529411764706"/>
    <s v="Late"/>
    <s v="No Delay"/>
  </r>
  <r>
    <s v="O217"/>
    <s v="14:19"/>
    <x v="0"/>
    <n v="20"/>
    <s v="14:39"/>
    <s v="14:42"/>
    <d v="1899-12-30T14:44:00"/>
    <s v="15:04"/>
    <n v="2.94"/>
    <x v="9"/>
    <n v="259"/>
    <n v="75"/>
    <s v="Delivered"/>
    <n v="17"/>
    <x v="2"/>
    <x v="0"/>
    <s v="None"/>
    <n v="45"/>
    <n v="2.9999999999998295"/>
    <n v="1.9999999999999929"/>
    <n v="20.000000000000089"/>
    <x v="8"/>
    <s v="Afternoon"/>
    <x v="1"/>
    <n v="0.14699999999999935"/>
    <n v="25.510204081632654"/>
    <n v="0.28957528957528955"/>
    <s v="On-Time"/>
    <s v="No Delay"/>
  </r>
  <r>
    <s v="O218"/>
    <s v="19:23"/>
    <x v="0"/>
    <n v="17"/>
    <s v="19:40"/>
    <s v="19:45"/>
    <d v="1899-12-30T19:57:00"/>
    <s v="20:32"/>
    <n v="5.79"/>
    <x v="7"/>
    <n v="272"/>
    <n v="114"/>
    <s v="Delivered"/>
    <n v="8"/>
    <x v="1"/>
    <x v="0"/>
    <s v="Traffic"/>
    <n v="69.000000000000071"/>
    <n v="4.9999999999998224"/>
    <n v="11.999999999999957"/>
    <n v="35.000000000000199"/>
    <x v="4"/>
    <s v="Peak Night"/>
    <x v="0"/>
    <n v="0.16542857142857048"/>
    <n v="19.689119170984455"/>
    <n v="0.41911764705882354"/>
    <s v="Late"/>
    <s v="No Delay"/>
  </r>
  <r>
    <s v="O219"/>
    <s v="10:35"/>
    <x v="0"/>
    <n v="13"/>
    <s v="10:48"/>
    <s v="10:50"/>
    <d v="1899-12-30T10:53:00"/>
    <s v="11:34"/>
    <n v="6.15"/>
    <x v="4"/>
    <n v="372"/>
    <n v="113"/>
    <s v="Delivered"/>
    <n v="17"/>
    <x v="0"/>
    <x v="0"/>
    <s v="Distance"/>
    <n v="58.99999999999995"/>
    <n v="1.9999999999999929"/>
    <n v="2.9999999999999893"/>
    <n v="41.000000000000014"/>
    <x v="9"/>
    <s v="Late Morning"/>
    <x v="1"/>
    <n v="0.14999999999999997"/>
    <n v="18.373983739837396"/>
    <n v="0.30376344086021506"/>
    <s v="Late"/>
    <s v="No Delay"/>
  </r>
  <r>
    <s v="O220"/>
    <s v="18:35"/>
    <x v="0"/>
    <n v="20"/>
    <s v="18:55"/>
    <s v="18:56"/>
    <d v="1899-12-30T19:02:00"/>
    <s v="19:37"/>
    <n v="5.58"/>
    <x v="16"/>
    <n v="158"/>
    <n v="107"/>
    <s v="Delivered"/>
    <n v="14"/>
    <x v="0"/>
    <x v="0"/>
    <s v="None"/>
    <n v="62.000000000000099"/>
    <n v="0.99999999999983658"/>
    <n v="5.9999999999999787"/>
    <n v="35.000000000000036"/>
    <x v="3"/>
    <s v="Peak Night"/>
    <x v="0"/>
    <n v="0.15942857142857128"/>
    <n v="19.17562724014337"/>
    <n v="0.67721518987341767"/>
    <s v="Late"/>
    <s v="No Delay"/>
  </r>
  <r>
    <s v="O221"/>
    <s v="13:35"/>
    <x v="1"/>
    <n v="34"/>
    <s v="14:09"/>
    <s v="14:16"/>
    <d v="1899-12-30T14:17:00"/>
    <s v="14:51"/>
    <n v="3.82"/>
    <x v="2"/>
    <n v="209"/>
    <n v="92"/>
    <s v="Delivered"/>
    <n v="14"/>
    <x v="0"/>
    <x v="0"/>
    <s v="Restaurant Delay"/>
    <n v="76.000000000000057"/>
    <n v="6.9999999999999751"/>
    <n v="0.99999999999999645"/>
    <n v="34.000000000000043"/>
    <x v="6"/>
    <s v="Afternoon"/>
    <x v="0"/>
    <n v="0.11235294117647045"/>
    <n v="24.083769633507856"/>
    <n v="0.44019138755980863"/>
    <s v="Late"/>
    <s v="No Delay"/>
  </r>
  <r>
    <s v="O222"/>
    <s v="19:42"/>
    <x v="1"/>
    <n v="28"/>
    <s v="20:10"/>
    <s v="20:17"/>
    <d v="1899-12-30T20:28:00"/>
    <s v="20:54"/>
    <n v="3.58"/>
    <x v="14"/>
    <n v="208"/>
    <n v="93"/>
    <s v="Delivered"/>
    <n v="9"/>
    <x v="1"/>
    <x v="0"/>
    <s v="Traffic"/>
    <n v="71.999999999999901"/>
    <n v="7.000000000000135"/>
    <n v="10.999999999999961"/>
    <n v="25.999999999999748"/>
    <x v="4"/>
    <s v="Peak Night"/>
    <x v="0"/>
    <n v="0.13769230769230903"/>
    <n v="25.977653631284916"/>
    <n v="0.44711538461538464"/>
    <s v="Late"/>
    <s v="No Delay"/>
  </r>
  <r>
    <s v="O223"/>
    <s v="15:18"/>
    <x v="0"/>
    <n v="18"/>
    <s v="15:36"/>
    <s v="15:39"/>
    <d v="1899-12-30T15:44:00"/>
    <s v="16:26"/>
    <n v="7.32"/>
    <x v="11"/>
    <n v="262"/>
    <n v="122"/>
    <s v="Delivered"/>
    <n v="19"/>
    <x v="2"/>
    <x v="0"/>
    <s v="Distance"/>
    <n v="67.999999999999915"/>
    <n v="2.9999999999999893"/>
    <n v="4.9999999999999822"/>
    <n v="42.000000000000014"/>
    <x v="7"/>
    <s v="Evening"/>
    <x v="1"/>
    <n v="0.17428571428571424"/>
    <n v="16.666666666666664"/>
    <n v="0.46564885496183206"/>
    <s v="Late"/>
    <s v="No Delay"/>
  </r>
  <r>
    <s v="O224"/>
    <s v="18:44"/>
    <x v="0"/>
    <n v="18"/>
    <s v="19:02"/>
    <s v="19:02"/>
    <d v="1899-12-30T19:08:00"/>
    <s v="19:27"/>
    <n v="2.37"/>
    <x v="9"/>
    <n v="208"/>
    <n v="75"/>
    <s v="Delivered"/>
    <n v="18"/>
    <x v="0"/>
    <x v="0"/>
    <s v="None"/>
    <n v="43.000000000000007"/>
    <n v="0"/>
    <n v="5.9999999999999787"/>
    <n v="18.999999999999932"/>
    <x v="3"/>
    <s v="Peak Night"/>
    <x v="0"/>
    <n v="0.1247368421052636"/>
    <n v="31.645569620253163"/>
    <n v="0.36057692307692307"/>
    <s v="On-Time"/>
    <s v="No Delay"/>
  </r>
  <r>
    <s v="O225"/>
    <s v="12:16"/>
    <x v="0"/>
    <n v="10"/>
    <s v="12:26"/>
    <s v="12:26"/>
    <d v="1899-12-30T12:32:00"/>
    <s v="12:58"/>
    <n v="3.54"/>
    <x v="8"/>
    <n v="171"/>
    <n v="88"/>
    <s v="Delivered"/>
    <n v="13"/>
    <x v="0"/>
    <x v="0"/>
    <s v="None"/>
    <n v="41.999999999999851"/>
    <n v="0"/>
    <n v="5.9999999999999787"/>
    <n v="25.999999999999908"/>
    <x v="0"/>
    <s v="Afternoon"/>
    <x v="0"/>
    <n v="0.13615384615384665"/>
    <n v="24.858757062146893"/>
    <n v="0.51461988304093564"/>
    <s v="On-Time"/>
    <s v="No Delay"/>
  </r>
  <r>
    <s v="O226"/>
    <s v="14:03"/>
    <x v="0"/>
    <n v="13"/>
    <s v="14:16"/>
    <s v="14:17"/>
    <d v="1899-12-30T14:23:00"/>
    <s v="14:54"/>
    <n v="5.51"/>
    <x v="11"/>
    <n v="192"/>
    <n v="103"/>
    <s v="Delivered"/>
    <n v="15"/>
    <x v="2"/>
    <x v="0"/>
    <s v="None"/>
    <n v="50.999999999999979"/>
    <n v="0.99999999999999645"/>
    <n v="5.9999999999999787"/>
    <n v="31.00000000000005"/>
    <x v="8"/>
    <s v="Afternoon"/>
    <x v="1"/>
    <n v="0.17774193548387068"/>
    <n v="18.693284936479131"/>
    <n v="0.53645833333333337"/>
    <s v="Late"/>
    <s v="No Delay"/>
  </r>
  <r>
    <s v="O227"/>
    <s v="10:18"/>
    <x v="0"/>
    <n v="17"/>
    <s v="10:35"/>
    <s v="10:37"/>
    <d v="1899-12-30T10:41:00"/>
    <s v="11:25"/>
    <n v="7.31"/>
    <x v="9"/>
    <n v="239"/>
    <n v="123"/>
    <s v="Delivered"/>
    <n v="16"/>
    <x v="0"/>
    <x v="0"/>
    <s v="Distance"/>
    <n v="66.999999999999915"/>
    <n v="1.9999999999999929"/>
    <n v="3.9999999999999858"/>
    <n v="43.999999999999922"/>
    <x v="9"/>
    <s v="Late Morning"/>
    <x v="1"/>
    <n v="0.16613636363636392"/>
    <n v="16.82626538987688"/>
    <n v="0.5146443514644351"/>
    <s v="Late"/>
    <s v="No Delay"/>
  </r>
  <r>
    <s v="O228"/>
    <s v="18:19"/>
    <x v="1"/>
    <n v="35"/>
    <s v="18:54"/>
    <s v="19:04"/>
    <d v="1899-12-30T19:05:00"/>
    <s v="19:58"/>
    <n v="7.53"/>
    <x v="18"/>
    <n v="304"/>
    <n v="130"/>
    <s v="Delivered"/>
    <n v="17"/>
    <x v="0"/>
    <x v="0"/>
    <s v="Restaurant Delay"/>
    <n v="98.999999999999972"/>
    <n v="9.9999999999999645"/>
    <n v="0.99999999999999645"/>
    <n v="52.999999999999972"/>
    <x v="3"/>
    <s v="Peak Night"/>
    <x v="0"/>
    <n v="0.1420754716981133"/>
    <n v="17.264276228419654"/>
    <n v="0.42763157894736842"/>
    <s v="Late"/>
    <s v="No Delay"/>
  </r>
  <r>
    <s v="O229"/>
    <s v="19:46"/>
    <x v="1"/>
    <n v="35"/>
    <s v="20:21"/>
    <s v="20:31"/>
    <d v="1899-12-30T20:39:00"/>
    <s v="21:03"/>
    <n v="2.83"/>
    <x v="17"/>
    <n v="232"/>
    <n v="84"/>
    <s v="Delivered"/>
    <n v="11"/>
    <x v="1"/>
    <x v="0"/>
    <s v="Traffic"/>
    <n v="77.000000000000043"/>
    <n v="9.9999999999998046"/>
    <n v="7.9999999999999716"/>
    <n v="24.000000000000075"/>
    <x v="4"/>
    <s v="Peak Night"/>
    <x v="0"/>
    <n v="0.11791666666666631"/>
    <n v="29.68197879858657"/>
    <n v="0.36206896551724138"/>
    <s v="Late"/>
    <s v="No Delay"/>
  </r>
  <r>
    <s v="O230"/>
    <s v="13:04"/>
    <x v="0"/>
    <n v="13"/>
    <s v="13:17"/>
    <s v="13:19"/>
    <d v="1899-12-30T13:22:00"/>
    <s v="14:07"/>
    <n v="6.84"/>
    <x v="3"/>
    <n v="393"/>
    <n v="120"/>
    <s v="Delivered"/>
    <n v="14"/>
    <x v="0"/>
    <x v="0"/>
    <s v="Distance"/>
    <n v="63.000000000000099"/>
    <n v="1.9999999999999929"/>
    <n v="2.9999999999999893"/>
    <n v="45"/>
    <x v="6"/>
    <s v="Afternoon"/>
    <x v="0"/>
    <n v="0.152"/>
    <n v="17.543859649122808"/>
    <n v="0.30534351145038169"/>
    <s v="Late"/>
    <s v="No Delay"/>
  </r>
  <r>
    <s v="O231"/>
    <s v="17:05"/>
    <x v="0"/>
    <n v="14"/>
    <s v="17:19"/>
    <s v="17:19"/>
    <d v="1899-12-30T17:23:00"/>
    <s v="17:51"/>
    <n v="3.04"/>
    <x v="8"/>
    <n v="387"/>
    <n v="85"/>
    <s v="Delivered"/>
    <n v="13"/>
    <x v="0"/>
    <x v="0"/>
    <s v="None"/>
    <n v="46.000000000000156"/>
    <n v="0"/>
    <n v="3.9999999999999858"/>
    <n v="28.00000000000006"/>
    <x v="2"/>
    <s v="Evening"/>
    <x v="0"/>
    <n v="0.10857142857142833"/>
    <n v="27.960526315789473"/>
    <n v="0.21963824289405684"/>
    <s v="Late"/>
    <s v="No Delay"/>
  </r>
  <r>
    <s v="O232"/>
    <s v="13:42"/>
    <x v="0"/>
    <n v="20"/>
    <s v="14:02"/>
    <s v="14:04"/>
    <d v="1899-12-30T14:05:00"/>
    <s v="14:42"/>
    <n v="4.46"/>
    <x v="19"/>
    <n v="322"/>
    <n v="98"/>
    <s v="Delivered"/>
    <n v="17"/>
    <x v="0"/>
    <x v="0"/>
    <s v="None"/>
    <n v="59.999999999999943"/>
    <n v="1.9999999999999929"/>
    <n v="0.99999999999999645"/>
    <n v="36.999999999999872"/>
    <x v="6"/>
    <s v="Afternoon"/>
    <x v="0"/>
    <n v="0.12054054054054096"/>
    <n v="21.973094170403588"/>
    <n v="0.30434782608695654"/>
    <s v="Late"/>
    <s v="No Delay"/>
  </r>
  <r>
    <s v="O233"/>
    <s v="15:30"/>
    <x v="1"/>
    <n v="28"/>
    <s v="15:58"/>
    <s v="16:07"/>
    <d v="1899-12-30T16:12:00"/>
    <s v="16:39"/>
    <n v="4.66"/>
    <x v="5"/>
    <n v="199"/>
    <n v="93"/>
    <s v="Delivered"/>
    <n v="18"/>
    <x v="2"/>
    <x v="0"/>
    <s v="Restaurant Delay"/>
    <n v="68.999999999999915"/>
    <n v="9.0000000000001279"/>
    <n v="4.9999999999999822"/>
    <n v="26.999999999999904"/>
    <x v="7"/>
    <s v="Evening"/>
    <x v="1"/>
    <n v="0.17259259259259321"/>
    <n v="19.957081545064376"/>
    <n v="0.46733668341708545"/>
    <s v="Late"/>
    <s v="No Delay"/>
  </r>
  <r>
    <s v="O234"/>
    <s v="17:40"/>
    <x v="0"/>
    <n v="17"/>
    <s v="17:57"/>
    <s v="17:58"/>
    <d v="1899-12-30T18:03:00"/>
    <s v="18:17"/>
    <n v="1.26"/>
    <x v="6"/>
    <n v="159"/>
    <n v="63"/>
    <s v="Failed"/>
    <n v="17"/>
    <x v="0"/>
    <x v="1"/>
    <s v="Restaurant Delay"/>
    <n v="37.000000000000028"/>
    <n v="0.99999999999983658"/>
    <n v="4.9999999999999822"/>
    <n v="14.00000000000027"/>
    <x v="2"/>
    <s v="Evening"/>
    <x v="0"/>
    <n v="8.9999999999998262E-2"/>
    <n v="50"/>
    <n v="0.39622641509433965"/>
    <s v="On-Time"/>
    <s v="Restaurant Delay"/>
  </r>
  <r>
    <s v="O235"/>
    <s v="18:39"/>
    <x v="0"/>
    <n v="17"/>
    <s v="18:56"/>
    <s v="18:57"/>
    <d v="1899-12-30T18:58:00"/>
    <s v="19:48"/>
    <n v="7.42"/>
    <x v="5"/>
    <n v="277"/>
    <n v="126"/>
    <s v="Delivered"/>
    <n v="17"/>
    <x v="0"/>
    <x v="0"/>
    <s v="Distance"/>
    <n v="69.000000000000227"/>
    <n v="0.99999999999999645"/>
    <n v="0.99999999999999645"/>
    <n v="50.000000000000142"/>
    <x v="3"/>
    <s v="Peak Night"/>
    <x v="0"/>
    <n v="0.14839999999999959"/>
    <n v="16.981132075471699"/>
    <n v="0.45487364620938631"/>
    <s v="Late"/>
    <s v="No Delay"/>
  </r>
  <r>
    <s v="O236"/>
    <s v="10:13"/>
    <x v="0"/>
    <n v="18"/>
    <s v="10:31"/>
    <s v="10:33"/>
    <d v="1899-12-30T10:36:00"/>
    <s v="11:10"/>
    <n v="4.1500000000000004"/>
    <x v="4"/>
    <n v="244"/>
    <n v="96"/>
    <s v="Failed"/>
    <n v="18"/>
    <x v="0"/>
    <x v="1"/>
    <s v="Restaurant Delay"/>
    <n v="56.999999999999957"/>
    <n v="1.9999999999999929"/>
    <n v="2.9999999999999893"/>
    <n v="33.999999999999879"/>
    <x v="9"/>
    <s v="Late Morning"/>
    <x v="1"/>
    <n v="0.12205882352941221"/>
    <n v="23.132530120481924"/>
    <n v="0.39344262295081966"/>
    <s v="Late"/>
    <s v="Restaurant Delay"/>
  </r>
  <r>
    <s v="O237"/>
    <s v="17:28"/>
    <x v="0"/>
    <n v="20"/>
    <s v="17:48"/>
    <s v="17:48"/>
    <d v="1899-12-30T17:51:00"/>
    <s v="18:19"/>
    <n v="3.13"/>
    <x v="4"/>
    <n v="373"/>
    <n v="85"/>
    <s v="Delivered"/>
    <n v="17"/>
    <x v="0"/>
    <x v="0"/>
    <s v="None"/>
    <n v="50.999999999999979"/>
    <n v="0"/>
    <n v="2.9999999999999893"/>
    <n v="27.999999999999901"/>
    <x v="2"/>
    <s v="Evening"/>
    <x v="0"/>
    <n v="0.11178571428571468"/>
    <n v="27.156549520766774"/>
    <n v="0.22788203753351208"/>
    <s v="Late"/>
    <s v="No Delay"/>
  </r>
  <r>
    <s v="O238"/>
    <s v="13:19"/>
    <x v="0"/>
    <n v="17"/>
    <s v="13:36"/>
    <s v="13:38"/>
    <d v="1899-12-30T13:39:00"/>
    <s v="14:28"/>
    <n v="7.68"/>
    <x v="11"/>
    <n v="194"/>
    <n v="126"/>
    <s v="Delivered"/>
    <n v="18"/>
    <x v="0"/>
    <x v="0"/>
    <s v="Distance"/>
    <n v="68.999999999999915"/>
    <n v="1.9999999999999929"/>
    <n v="0.99999999999999645"/>
    <n v="48.999999999999986"/>
    <x v="6"/>
    <s v="Afternoon"/>
    <x v="0"/>
    <n v="0.15673469387755107"/>
    <n v="16.40625"/>
    <n v="0.64948453608247425"/>
    <s v="Late"/>
    <s v="No Delay"/>
  </r>
  <r>
    <s v="O239"/>
    <s v="18:22"/>
    <x v="0"/>
    <n v="19"/>
    <s v="18:41"/>
    <s v="18:42"/>
    <d v="1899-12-30T18:48:00"/>
    <s v="19:05"/>
    <n v="1.42"/>
    <x v="15"/>
    <n v="252"/>
    <n v="68"/>
    <s v="Delivered"/>
    <n v="13"/>
    <x v="0"/>
    <x v="0"/>
    <s v="None"/>
    <n v="42.999999999999844"/>
    <n v="0.99999999999999645"/>
    <n v="5.9999999999999787"/>
    <n v="16.99999999999994"/>
    <x v="3"/>
    <s v="Peak Night"/>
    <x v="0"/>
    <n v="8.3529411764706171E-2"/>
    <n v="47.887323943661976"/>
    <n v="0.26984126984126983"/>
    <s v="On-Time"/>
    <s v="No Delay"/>
  </r>
  <r>
    <s v="O240"/>
    <s v="12:06"/>
    <x v="0"/>
    <n v="12"/>
    <s v="12:18"/>
    <s v="12:20"/>
    <d v="1899-12-30T12:26:00"/>
    <s v="12:43"/>
    <n v="1.92"/>
    <x v="12"/>
    <n v="330"/>
    <n v="71"/>
    <s v="Delivered"/>
    <n v="13"/>
    <x v="0"/>
    <x v="0"/>
    <s v="None"/>
    <n v="37.000000000000028"/>
    <n v="1.9999999999999929"/>
    <n v="5.9999999999999787"/>
    <n v="16.99999999999994"/>
    <x v="0"/>
    <s v="Afternoon"/>
    <x v="0"/>
    <n v="0.11294117647058863"/>
    <n v="36.979166666666671"/>
    <n v="0.21515151515151515"/>
    <s v="On-Time"/>
    <s v="No Delay"/>
  </r>
  <r>
    <s v="O241"/>
    <s v="17:59"/>
    <x v="0"/>
    <n v="18"/>
    <s v="18:17"/>
    <s v="18:19"/>
    <d v="1899-12-30T18:22:00"/>
    <s v="18:55"/>
    <n v="4.6399999999999997"/>
    <x v="0"/>
    <n v="351"/>
    <n v="97"/>
    <s v="Delivered"/>
    <n v="14"/>
    <x v="0"/>
    <x v="0"/>
    <s v="None"/>
    <n v="56.000000000000121"/>
    <n v="1.999999999999833"/>
    <n v="2.9999999999999893"/>
    <n v="33.000000000000199"/>
    <x v="2"/>
    <s v="Evening"/>
    <x v="0"/>
    <n v="0.14060606060605974"/>
    <n v="20.905172413793103"/>
    <n v="0.27635327635327633"/>
    <s v="Late"/>
    <s v="No Delay"/>
  </r>
  <r>
    <s v="O242"/>
    <s v="14:49"/>
    <x v="0"/>
    <n v="20"/>
    <s v="15:09"/>
    <s v="15:12"/>
    <d v="1899-12-30T15:14:00"/>
    <s v="15:30"/>
    <n v="1.83"/>
    <x v="19"/>
    <n v="281"/>
    <n v="65"/>
    <s v="Delivered"/>
    <n v="15"/>
    <x v="2"/>
    <x v="0"/>
    <s v="None"/>
    <n v="41.000000000000014"/>
    <n v="2.9999999999999893"/>
    <n v="1.9999999999999929"/>
    <n v="16.000000000000103"/>
    <x v="8"/>
    <s v="Afternoon"/>
    <x v="1"/>
    <n v="0.11437499999999927"/>
    <n v="35.519125683060111"/>
    <n v="0.23131672597864769"/>
    <s v="On-Time"/>
    <s v="No Delay"/>
  </r>
  <r>
    <s v="O243"/>
    <s v="17:30"/>
    <x v="0"/>
    <n v="18"/>
    <s v="17:48"/>
    <s v="17:48"/>
    <d v="1899-12-30T17:52:00"/>
    <s v="18:36"/>
    <n v="6.85"/>
    <x v="13"/>
    <n v="177"/>
    <n v="120"/>
    <s v="Delivered"/>
    <n v="15"/>
    <x v="0"/>
    <x v="0"/>
    <s v="Distance"/>
    <n v="66.000000000000085"/>
    <n v="0"/>
    <n v="3.9999999999999858"/>
    <n v="44"/>
    <x v="2"/>
    <s v="Evening"/>
    <x v="0"/>
    <n v="0.15568181818181817"/>
    <n v="17.518248175182482"/>
    <n v="0.67796610169491522"/>
    <s v="Late"/>
    <s v="No Delay"/>
  </r>
  <r>
    <s v="O244"/>
    <s v="19:11"/>
    <x v="0"/>
    <n v="17"/>
    <s v="19:28"/>
    <s v="19:28"/>
    <d v="1899-12-30T19:40:00"/>
    <s v="20:08"/>
    <n v="4.33"/>
    <x v="11"/>
    <n v="392"/>
    <n v="100"/>
    <s v="Delivered"/>
    <n v="11"/>
    <x v="1"/>
    <x v="0"/>
    <s v="Traffic"/>
    <n v="56.999999999999957"/>
    <n v="0"/>
    <n v="11.999999999999957"/>
    <n v="28.00000000000022"/>
    <x v="4"/>
    <s v="Peak Night"/>
    <x v="0"/>
    <n v="0.15464285714285592"/>
    <n v="23.094688221709006"/>
    <n v="0.25510204081632654"/>
    <s v="Late"/>
    <s v="No Delay"/>
  </r>
  <r>
    <s v="O245"/>
    <s v="17:40"/>
    <x v="0"/>
    <n v="14"/>
    <s v="17:54"/>
    <s v="17:56"/>
    <d v="1899-12-30T18:00:00"/>
    <s v="18:43"/>
    <n v="6.89"/>
    <x v="17"/>
    <n v="348"/>
    <n v="119"/>
    <s v="Delivered"/>
    <n v="14"/>
    <x v="0"/>
    <x v="0"/>
    <s v="Distance"/>
    <n v="62.999999999999773"/>
    <n v="2.0000000000001528"/>
    <n v="3.9999999999999858"/>
    <n v="42.999999999999844"/>
    <x v="2"/>
    <s v="Evening"/>
    <x v="0"/>
    <n v="0.16023255813953546"/>
    <n v="17.271407837445572"/>
    <n v="0.34195402298850575"/>
    <s v="Late"/>
    <s v="No Delay"/>
  </r>
  <r>
    <s v="O246"/>
    <s v="19:29"/>
    <x v="1"/>
    <n v="27"/>
    <s v="19:56"/>
    <s v="20:03"/>
    <d v="1899-12-30T20:15:00"/>
    <s v="20:43"/>
    <n v="4.12"/>
    <x v="13"/>
    <n v="377"/>
    <n v="99"/>
    <s v="Delivered"/>
    <n v="12"/>
    <x v="1"/>
    <x v="0"/>
    <s v="Traffic"/>
    <n v="73.999999999999901"/>
    <n v="6.9999999999999751"/>
    <n v="11.999999999999957"/>
    <n v="27.999999999999901"/>
    <x v="4"/>
    <s v="Peak Night"/>
    <x v="0"/>
    <n v="0.14714285714285766"/>
    <n v="24.029126213592232"/>
    <n v="0.2625994694960212"/>
    <s v="Late"/>
    <s v="No Delay"/>
  </r>
  <r>
    <s v="O247"/>
    <s v="16:37"/>
    <x v="1"/>
    <n v="39"/>
    <s v="17:16"/>
    <s v="17:25"/>
    <d v="1899-12-30T17:29:00"/>
    <s v="17:56"/>
    <n v="4.26"/>
    <x v="7"/>
    <n v="252"/>
    <n v="90"/>
    <s v="Delivered"/>
    <n v="17"/>
    <x v="2"/>
    <x v="0"/>
    <s v="Restaurant Delay"/>
    <n v="79.000000000000043"/>
    <n v="9.0000000000001279"/>
    <n v="3.9999999999999858"/>
    <n v="26.999999999999904"/>
    <x v="5"/>
    <s v="Evening"/>
    <x v="1"/>
    <n v="0.15777777777777832"/>
    <n v="21.126760563380284"/>
    <n v="0.35714285714285715"/>
    <s v="Late"/>
    <s v="No Delay"/>
  </r>
  <r>
    <s v="O248"/>
    <s v="17:17"/>
    <x v="0"/>
    <n v="19"/>
    <s v="17:36"/>
    <s v="17:38"/>
    <d v="1899-12-30T17:43:00"/>
    <s v="18:15"/>
    <n v="4.54"/>
    <x v="9"/>
    <n v="398"/>
    <n v="98"/>
    <s v="Delivered"/>
    <n v="17"/>
    <x v="0"/>
    <x v="0"/>
    <s v="None"/>
    <n v="57.999999999999794"/>
    <n v="1.999999999999833"/>
    <n v="4.9999999999999822"/>
    <n v="32.000000000000043"/>
    <x v="2"/>
    <s v="Evening"/>
    <x v="0"/>
    <n v="0.14187499999999981"/>
    <n v="21.58590308370044"/>
    <n v="0.24623115577889448"/>
    <s v="Late"/>
    <s v="No Delay"/>
  </r>
  <r>
    <s v="O249"/>
    <s v="13:18"/>
    <x v="0"/>
    <n v="13"/>
    <s v="13:31"/>
    <s v="13:31"/>
    <d v="1899-12-30T13:34:00"/>
    <s v="14:23"/>
    <n v="7.14"/>
    <x v="10"/>
    <n v="258"/>
    <n v="126"/>
    <s v="Delivered"/>
    <n v="15"/>
    <x v="0"/>
    <x v="0"/>
    <s v="Distance"/>
    <n v="64.999999999999929"/>
    <n v="0"/>
    <n v="2.9999999999999893"/>
    <n v="48.999999999999986"/>
    <x v="6"/>
    <s v="Afternoon"/>
    <x v="0"/>
    <n v="0.14571428571428574"/>
    <n v="17.647058823529413"/>
    <n v="0.48837209302325579"/>
    <s v="Late"/>
    <s v="No Delay"/>
  </r>
  <r>
    <s v="O250"/>
    <s v="17:44"/>
    <x v="0"/>
    <n v="15"/>
    <s v="17:59"/>
    <s v="18:02"/>
    <d v="1899-12-30T18:05:00"/>
    <s v="18:53"/>
    <n v="7.56"/>
    <x v="15"/>
    <n v="333"/>
    <n v="127"/>
    <s v="Failed"/>
    <n v="16"/>
    <x v="0"/>
    <x v="1"/>
    <s v="Restaurant Delay"/>
    <n v="68.999999999999915"/>
    <n v="3.0000000000001492"/>
    <n v="2.9999999999999893"/>
    <n v="47.999999999999829"/>
    <x v="2"/>
    <s v="Evening"/>
    <x v="0"/>
    <n v="0.15750000000000056"/>
    <n v="16.798941798941801"/>
    <n v="0.38138138138138139"/>
    <s v="Late"/>
    <s v="Restaurant Dela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0">
  <r>
    <s v="O1"/>
    <s v="12:17"/>
    <s v="Normal"/>
    <n v="11"/>
    <s v="12:28"/>
    <s v="12:31"/>
    <d v="1899-12-30T12:34:00"/>
    <s v="13:05"/>
    <n v="4.47"/>
    <s v="R7"/>
    <n v="247"/>
    <n v="94"/>
    <s v="Delivered"/>
    <n v="14"/>
    <s v="Medium"/>
    <s v="No"/>
    <s v="None"/>
    <n v="48.000000000000149"/>
    <n v="2.9999999999999893"/>
    <n v="2.9999999999999893"/>
    <n v="31.00000000000005"/>
    <n v="12"/>
    <s v="Afternoon"/>
    <s v="Peak"/>
    <n v="0.14419354838709653"/>
    <n v="21.029082774049218"/>
    <n v="0.38056680161943318"/>
    <s v="Late"/>
    <s v="No Delay"/>
    <x v="0"/>
  </r>
  <r>
    <s v="O2"/>
    <s v="11:36"/>
    <s v="Normal"/>
    <n v="16"/>
    <s v="11:52"/>
    <s v="11:52"/>
    <d v="1899-12-30T11:58:00"/>
    <s v="12:39"/>
    <n v="6.34"/>
    <s v="R8"/>
    <n v="218"/>
    <n v="117"/>
    <s v="Delivered"/>
    <n v="15"/>
    <s v="Medium"/>
    <s v="No"/>
    <s v="Distance"/>
    <n v="63.000000000000014"/>
    <n v="0"/>
    <n v="5.9999999999999787"/>
    <n v="41.000000000000014"/>
    <n v="11"/>
    <s v="Late Morning"/>
    <s v="Off-Peak"/>
    <n v="0.15463414634146336"/>
    <n v="18.454258675078865"/>
    <n v="0.53669724770642202"/>
    <s v="Late"/>
    <s v="No Delay"/>
    <x v="1"/>
  </r>
  <r>
    <s v="O3"/>
    <s v="11:44"/>
    <s v="Normal"/>
    <n v="10"/>
    <s v="11:54"/>
    <s v="11:54"/>
    <d v="1899-12-30T11:56:00"/>
    <s v="12:33"/>
    <n v="5.55"/>
    <s v="R7"/>
    <n v="247"/>
    <n v="105"/>
    <s v="Delivered"/>
    <n v="12"/>
    <s v="Medium"/>
    <s v="No"/>
    <s v="None"/>
    <n v="49.000000000000064"/>
    <n v="0"/>
    <n v="1.9999999999999929"/>
    <n v="37.000000000000028"/>
    <n v="11"/>
    <s v="Late Morning"/>
    <s v="Off-Peak"/>
    <n v="0.14999999999999988"/>
    <n v="18.918918918918919"/>
    <n v="0.4251012145748988"/>
    <s v="Late"/>
    <s v="No Delay"/>
    <x v="1"/>
  </r>
  <r>
    <s v="O4"/>
    <s v="17:12"/>
    <s v="Normal"/>
    <n v="18"/>
    <s v="17:30"/>
    <s v="17:31"/>
    <d v="1899-12-30T17:32:00"/>
    <s v="18:23"/>
    <n v="7.57"/>
    <s v="R8"/>
    <n v="323"/>
    <n v="128"/>
    <s v="Delivered"/>
    <n v="13"/>
    <s v="Medium"/>
    <s v="No"/>
    <s v="Distance"/>
    <n v="70.999999999999915"/>
    <n v="0.99999999999999645"/>
    <n v="0.99999999999999645"/>
    <n v="50.999999999999979"/>
    <n v="17"/>
    <s v="Evening"/>
    <s v="Peak"/>
    <n v="0.14843137254901967"/>
    <n v="16.908850726552178"/>
    <n v="0.39628482972136225"/>
    <s v="Late"/>
    <s v="No Delay"/>
    <x v="1"/>
  </r>
  <r>
    <s v="O5"/>
    <s v="17:50"/>
    <s v="Normal"/>
    <n v="10"/>
    <s v="18:00"/>
    <s v="18:00"/>
    <d v="1899-12-30T18:01:00"/>
    <s v="18:53"/>
    <n v="7.46"/>
    <s v="R10"/>
    <n v="335"/>
    <n v="128"/>
    <s v="Delivered"/>
    <n v="15"/>
    <s v="Medium"/>
    <s v="No"/>
    <s v="Distance"/>
    <n v="63.000000000000099"/>
    <n v="0"/>
    <n v="0.99999999999999645"/>
    <n v="51.999999999999972"/>
    <n v="17"/>
    <s v="Evening"/>
    <s v="Peak"/>
    <n v="0.14346153846153853"/>
    <n v="17.158176943699733"/>
    <n v="0.38208955223880597"/>
    <s v="Late"/>
    <s v="No Delay"/>
    <x v="1"/>
  </r>
  <r>
    <s v="O6"/>
    <s v="12:03"/>
    <s v="Normal"/>
    <n v="18"/>
    <s v="12:21"/>
    <s v="12:22"/>
    <d v="1899-12-30T12:26:00"/>
    <s v="13:12"/>
    <n v="6.81"/>
    <s v="R16"/>
    <n v="300"/>
    <n v="122"/>
    <s v="Delivered"/>
    <n v="15"/>
    <s v="Medium"/>
    <s v="No"/>
    <s v="Distance"/>
    <n v="68.999999999999915"/>
    <n v="1.0000000000001563"/>
    <n v="3.9999999999999858"/>
    <n v="45.999999999999837"/>
    <n v="12"/>
    <s v="Afternoon"/>
    <s v="Peak"/>
    <n v="0.14804347826087008"/>
    <n v="17.914831130690164"/>
    <n v="0.40666666666666668"/>
    <s v="Late"/>
    <s v="No Delay"/>
    <x v="1"/>
  </r>
  <r>
    <s v="O7"/>
    <s v="18:37"/>
    <s v="Normal"/>
    <n v="10"/>
    <s v="18:47"/>
    <s v="18:50"/>
    <d v="1899-12-30T18:56:00"/>
    <s v="19:34"/>
    <n v="6.21"/>
    <s v="R12"/>
    <n v="194"/>
    <n v="113"/>
    <s v="Delivered"/>
    <n v="15"/>
    <s v="Medium"/>
    <s v="No"/>
    <s v="Distance"/>
    <n v="56.999999999999957"/>
    <n v="2.9999999999998295"/>
    <n v="5.9999999999999787"/>
    <n v="38.000000000000028"/>
    <n v="18"/>
    <s v="Peak Night"/>
    <s v="Peak"/>
    <n v="0.16342105263157883"/>
    <n v="18.196457326892109"/>
    <n v="0.58247422680412375"/>
    <s v="Late"/>
    <s v="No Delay"/>
    <x v="1"/>
  </r>
  <r>
    <s v="O8"/>
    <s v="19:21"/>
    <s v="Normal"/>
    <n v="20"/>
    <s v="19:41"/>
    <s v="19:41"/>
    <d v="1899-12-30T19:51:00"/>
    <s v="20:19"/>
    <n v="4.07"/>
    <s v="R13"/>
    <n v="283"/>
    <n v="96"/>
    <s v="Delivered"/>
    <n v="10"/>
    <s v="High"/>
    <s v="No"/>
    <s v="Traffic"/>
    <n v="57.999999999999957"/>
    <n v="0"/>
    <n v="9.9999999999999645"/>
    <n v="28.00000000000006"/>
    <n v="19"/>
    <s v="Peak Night"/>
    <s v="Peak"/>
    <n v="0.14535714285714255"/>
    <n v="23.587223587223587"/>
    <n v="0.33922261484098942"/>
    <s v="Late"/>
    <s v="No Delay"/>
    <x v="0"/>
  </r>
  <r>
    <s v="O9"/>
    <s v="16:19"/>
    <s v="Normal"/>
    <n v="10"/>
    <s v="16:29"/>
    <s v="16:32"/>
    <d v="1899-12-30T16:37:00"/>
    <s v="16:54"/>
    <n v="3.16"/>
    <s v="R17"/>
    <n v="193"/>
    <n v="76"/>
    <s v="Delivered"/>
    <n v="18"/>
    <s v="Low"/>
    <s v="No"/>
    <s v="None"/>
    <n v="34.999999999999872"/>
    <n v="3.0000000000001492"/>
    <n v="4.9999999999999822"/>
    <n v="16.99999999999978"/>
    <n v="16"/>
    <s v="Evening"/>
    <s v="Off-Peak"/>
    <n v="0.18588235294117889"/>
    <n v="24.050632911392405"/>
    <n v="0.39378238341968913"/>
    <s v="On-Time"/>
    <s v="No Delay"/>
    <x v="0"/>
  </r>
  <r>
    <s v="O10"/>
    <s v="13:52"/>
    <s v="Normal"/>
    <n v="13"/>
    <s v="14:05"/>
    <s v="14:07"/>
    <d v="1899-12-30T14:08:00"/>
    <s v="14:36"/>
    <n v="2.63"/>
    <s v="R12"/>
    <n v="297"/>
    <n v="80"/>
    <s v="Delivered"/>
    <n v="16"/>
    <s v="Medium"/>
    <s v="No"/>
    <s v="None"/>
    <n v="43.999999999999844"/>
    <n v="1.9999999999999929"/>
    <n v="0.99999999999999645"/>
    <n v="27.999999999999901"/>
    <n v="13"/>
    <s v="Afternoon"/>
    <s v="Peak"/>
    <n v="9.3928571428571764E-2"/>
    <n v="30.418250950570343"/>
    <n v="0.26936026936026936"/>
    <s v="On-Time"/>
    <s v="No Delay"/>
    <x v="0"/>
  </r>
  <r>
    <s v="O11"/>
    <s v="17:50"/>
    <s v="Normal"/>
    <n v="20"/>
    <s v="18:10"/>
    <s v="18:10"/>
    <d v="1899-12-30T18:16:00"/>
    <s v="19:04"/>
    <n v="7.7"/>
    <s v="R17"/>
    <n v="369"/>
    <n v="131"/>
    <s v="Delivered"/>
    <n v="16"/>
    <s v="Medium"/>
    <s v="No"/>
    <s v="Distance"/>
    <n v="74.000000000000057"/>
    <n v="0"/>
    <n v="5.9999999999999787"/>
    <n v="47.999999999999829"/>
    <n v="17"/>
    <s v="Evening"/>
    <s v="Peak"/>
    <n v="0.16041666666666723"/>
    <n v="17.012987012987011"/>
    <n v="0.35501355013550134"/>
    <s v="Late"/>
    <s v="No Delay"/>
    <x v="1"/>
  </r>
  <r>
    <s v="O12"/>
    <s v="12:12"/>
    <s v="Normal"/>
    <n v="18"/>
    <s v="12:30"/>
    <s v="12:33"/>
    <d v="1899-12-30T12:34:00"/>
    <s v="13:26"/>
    <n v="7.65"/>
    <s v="R18"/>
    <n v="295"/>
    <n v="129"/>
    <s v="Delivered"/>
    <n v="13"/>
    <s v="Medium"/>
    <s v="No"/>
    <s v="Distance"/>
    <n v="74.000000000000057"/>
    <n v="2.9999999999999893"/>
    <n v="0.99999999999999645"/>
    <n v="51.999999999999972"/>
    <n v="12"/>
    <s v="Afternoon"/>
    <s v="Peak"/>
    <n v="0.1471153846153847"/>
    <n v="16.862745098039216"/>
    <n v="0.43728813559322033"/>
    <s v="Late"/>
    <s v="No Delay"/>
    <x v="1"/>
  </r>
  <r>
    <s v="O13"/>
    <s v="13:24"/>
    <s v="Normal"/>
    <n v="16"/>
    <s v="13:40"/>
    <s v="13:40"/>
    <d v="1899-12-30T13:41:00"/>
    <s v="14:13"/>
    <n v="3.9"/>
    <s v="R20"/>
    <n v="309"/>
    <n v="91"/>
    <s v="Delivered"/>
    <n v="15"/>
    <s v="Medium"/>
    <s v="No"/>
    <s v="None"/>
    <n v="48.999999999999986"/>
    <n v="0"/>
    <n v="0.99999999999999645"/>
    <n v="32.000000000000043"/>
    <n v="13"/>
    <s v="Afternoon"/>
    <s v="Peak"/>
    <n v="0.12187499999999983"/>
    <n v="23.333333333333332"/>
    <n v="0.29449838187702265"/>
    <s v="Late"/>
    <s v="No Delay"/>
    <x v="0"/>
  </r>
  <r>
    <s v="O14"/>
    <s v="15:39"/>
    <s v="Normal"/>
    <n v="10"/>
    <s v="15:49"/>
    <s v="15:50"/>
    <d v="1899-12-30T15:56:00"/>
    <s v="16:13"/>
    <n v="2.2400000000000002"/>
    <s v="R18"/>
    <n v="354"/>
    <n v="72"/>
    <s v="Delivered"/>
    <n v="16"/>
    <s v="Low"/>
    <s v="No"/>
    <s v="None"/>
    <n v="33.999999999999879"/>
    <n v="0.99999999999999645"/>
    <n v="5.9999999999999787"/>
    <n v="16.99999999999994"/>
    <n v="15"/>
    <s v="Evening"/>
    <s v="Off-Peak"/>
    <n v="0.13176470588235342"/>
    <n v="32.142857142857139"/>
    <n v="0.20338983050847459"/>
    <s v="On-Time"/>
    <s v="No Delay"/>
    <x v="0"/>
  </r>
  <r>
    <s v="O15"/>
    <s v="14:21"/>
    <s v="Bulk"/>
    <n v="27"/>
    <s v="14:48"/>
    <s v="14:55"/>
    <d v="1899-12-30T14:59:00"/>
    <s v="15:22"/>
    <n v="4.17"/>
    <s v="R20"/>
    <n v="178"/>
    <n v="86"/>
    <s v="Delivered"/>
    <n v="15"/>
    <s v="Low"/>
    <s v="No"/>
    <s v="Restaurant Delay"/>
    <n v="61.000000000000099"/>
    <n v="6.9999999999999751"/>
    <n v="3.9999999999999858"/>
    <n v="23.000000000000078"/>
    <n v="14"/>
    <s v="Afternoon"/>
    <s v="Off-Peak"/>
    <n v="0.18130434782608634"/>
    <n v="20.623501199040767"/>
    <n v="0.48314606741573035"/>
    <s v="Late"/>
    <s v="No Delay"/>
    <x v="0"/>
  </r>
  <r>
    <s v="O16"/>
    <s v="13:09"/>
    <s v="Normal"/>
    <n v="11"/>
    <s v="13:20"/>
    <s v="13:21"/>
    <d v="1899-12-30T13:22:00"/>
    <s v="13:47"/>
    <n v="2.79"/>
    <s v="R10"/>
    <n v="315"/>
    <n v="78"/>
    <s v="Delivered"/>
    <n v="13"/>
    <s v="Medium"/>
    <s v="No"/>
    <s v="None"/>
    <n v="37.999999999999865"/>
    <n v="0.99999999999999645"/>
    <n v="0.99999999999999645"/>
    <n v="24.999999999999911"/>
    <n v="13"/>
    <s v="Afternoon"/>
    <s v="Peak"/>
    <n v="0.11160000000000039"/>
    <n v="27.956989247311828"/>
    <n v="0.24761904761904763"/>
    <s v="On-Time"/>
    <s v="No Delay"/>
    <x v="0"/>
  </r>
  <r>
    <s v="O17"/>
    <s v="17:45"/>
    <s v="Normal"/>
    <n v="17"/>
    <s v="18:02"/>
    <s v="18:05"/>
    <d v="1899-12-30T18:09:00"/>
    <s v="18:22"/>
    <n v="1.17"/>
    <s v="R7"/>
    <n v="353"/>
    <n v="61"/>
    <s v="Delivered"/>
    <n v="15"/>
    <s v="Medium"/>
    <s v="No"/>
    <s v="None"/>
    <n v="37.000000000000028"/>
    <n v="2.9999999999998295"/>
    <n v="3.9999999999999858"/>
    <n v="13.000000000000114"/>
    <n v="17"/>
    <s v="Evening"/>
    <s v="Peak"/>
    <n v="8.9999999999999206E-2"/>
    <n v="52.136752136752143"/>
    <n v="0.17280453257790368"/>
    <s v="On-Time"/>
    <s v="No Delay"/>
    <x v="2"/>
  </r>
  <r>
    <s v="O18"/>
    <s v="14:24"/>
    <s v="Bulk"/>
    <n v="31"/>
    <s v="14:55"/>
    <s v="15:00"/>
    <d v="1899-12-30T15:02:00"/>
    <s v="15:43"/>
    <n v="6.72"/>
    <s v="R5"/>
    <n v="251"/>
    <n v="115"/>
    <s v="Delivered"/>
    <n v="19"/>
    <s v="Low"/>
    <s v="No"/>
    <s v="Restaurant Delay"/>
    <n v="79.000000000000043"/>
    <n v="4.9999999999999822"/>
    <n v="1.9999999999999929"/>
    <n v="41.000000000000014"/>
    <n v="14"/>
    <s v="Afternoon"/>
    <s v="Off-Peak"/>
    <n v="0.16390243902439017"/>
    <n v="17.113095238095237"/>
    <n v="0.45816733067729082"/>
    <s v="Late"/>
    <s v="No Delay"/>
    <x v="1"/>
  </r>
  <r>
    <s v="O19"/>
    <s v="10:36"/>
    <s v="Normal"/>
    <n v="12"/>
    <s v="10:48"/>
    <s v="10:51"/>
    <d v="1899-12-30T10:52:00"/>
    <s v="11:30"/>
    <n v="4.54"/>
    <s v="R17"/>
    <n v="206"/>
    <n v="100"/>
    <s v="Delivered"/>
    <n v="15"/>
    <s v="Medium"/>
    <s v="No"/>
    <s v="None"/>
    <n v="54.00000000000005"/>
    <n v="2.9999999999999893"/>
    <n v="0.99999999999999645"/>
    <n v="38.000000000000028"/>
    <n v="10"/>
    <s v="Late Morning"/>
    <s v="Off-Peak"/>
    <n v="0.11947368421052623"/>
    <n v="22.026431718061673"/>
    <n v="0.4854368932038835"/>
    <s v="Late"/>
    <s v="No Delay"/>
    <x v="0"/>
  </r>
  <r>
    <s v="O20"/>
    <s v="17:41"/>
    <s v="Normal"/>
    <n v="20"/>
    <s v="18:01"/>
    <s v="18:03"/>
    <d v="1899-12-30T18:05:00"/>
    <s v="18:46"/>
    <n v="5.72"/>
    <s v="R2"/>
    <n v="259"/>
    <n v="110"/>
    <s v="Delivered"/>
    <n v="12"/>
    <s v="Medium"/>
    <s v="No"/>
    <s v="None"/>
    <n v="64.999999999999929"/>
    <n v="1.9999999999999929"/>
    <n v="1.9999999999999929"/>
    <n v="41.000000000000014"/>
    <n v="17"/>
    <s v="Evening"/>
    <s v="Peak"/>
    <n v="0.13951219512195118"/>
    <n v="19.23076923076923"/>
    <n v="0.42471042471042469"/>
    <s v="Late"/>
    <s v="No Delay"/>
    <x v="1"/>
  </r>
  <r>
    <s v="O21"/>
    <s v="15:05"/>
    <s v="Bulk"/>
    <n v="31"/>
    <s v="15:36"/>
    <s v="15:41"/>
    <d v="1899-12-30T15:44:00"/>
    <s v="15:57"/>
    <n v="1.5"/>
    <s v="R10"/>
    <n v="390"/>
    <n v="62"/>
    <s v="Delivered"/>
    <n v="15"/>
    <s v="Low"/>
    <s v="No"/>
    <s v="Restaurant Delay"/>
    <n v="51.999999999999972"/>
    <n v="4.9999999999999822"/>
    <n v="2.9999999999999893"/>
    <n v="12.999999999999954"/>
    <n v="15"/>
    <s v="Evening"/>
    <s v="Off-Peak"/>
    <n v="0.11538461538461579"/>
    <n v="41.333333333333336"/>
    <n v="0.15897435897435896"/>
    <s v="Late"/>
    <s v="No Delay"/>
    <x v="2"/>
  </r>
  <r>
    <s v="O22"/>
    <s v="12:42"/>
    <s v="Normal"/>
    <n v="14"/>
    <s v="12:56"/>
    <s v="12:56"/>
    <d v="1899-12-30T13:02:00"/>
    <s v="13:32"/>
    <n v="4.93"/>
    <s v="R19"/>
    <n v="205"/>
    <n v="99"/>
    <s v="Delivered"/>
    <n v="13"/>
    <s v="Medium"/>
    <s v="No"/>
    <s v="None"/>
    <n v="49.999999999999986"/>
    <n v="0"/>
    <n v="5.9999999999999787"/>
    <n v="30.000000000000053"/>
    <n v="12"/>
    <s v="Afternoon"/>
    <s v="Peak"/>
    <n v="0.16433333333333303"/>
    <n v="20.08113590263692"/>
    <n v="0.48292682926829267"/>
    <s v="Late"/>
    <s v="No Delay"/>
    <x v="0"/>
  </r>
  <r>
    <s v="O23"/>
    <s v="17:51"/>
    <s v="Normal"/>
    <n v="19"/>
    <s v="18:10"/>
    <s v="18:12"/>
    <d v="1899-12-30T18:18:00"/>
    <s v="18:42"/>
    <n v="3.65"/>
    <s v="R14"/>
    <n v="296"/>
    <n v="86"/>
    <s v="Delivered"/>
    <n v="16"/>
    <s v="Medium"/>
    <s v="No"/>
    <s v="None"/>
    <n v="50.999999999999979"/>
    <n v="1.999999999999833"/>
    <n v="5.9999999999999787"/>
    <n v="24.000000000000075"/>
    <n v="17"/>
    <s v="Evening"/>
    <s v="Peak"/>
    <n v="0.15208333333333285"/>
    <n v="23.56164383561644"/>
    <n v="0.29054054054054052"/>
    <s v="Late"/>
    <s v="No Delay"/>
    <x v="0"/>
  </r>
  <r>
    <s v="O24"/>
    <s v="13:18"/>
    <s v="Normal"/>
    <n v="20"/>
    <s v="13:38"/>
    <s v="13:38"/>
    <d v="1899-12-30T13:43:00"/>
    <s v="14:14"/>
    <n v="4.53"/>
    <s v="R13"/>
    <n v="373"/>
    <n v="97"/>
    <s v="Delivered"/>
    <n v="15"/>
    <s v="Medium"/>
    <s v="No"/>
    <s v="None"/>
    <n v="55.999999999999957"/>
    <n v="0"/>
    <n v="4.9999999999999822"/>
    <n v="31.00000000000005"/>
    <n v="13"/>
    <s v="Afternoon"/>
    <s v="Peak"/>
    <n v="0.14612903225806428"/>
    <n v="21.41280353200883"/>
    <n v="0.26005361930294907"/>
    <s v="Late"/>
    <s v="No Delay"/>
    <x v="0"/>
  </r>
  <r>
    <s v="O25"/>
    <s v="14:48"/>
    <s v="Bulk"/>
    <n v="31"/>
    <s v="15:19"/>
    <s v="15:26"/>
    <d v="1899-12-30T15:28:00"/>
    <s v="16:09"/>
    <n v="6.48"/>
    <s v="R4"/>
    <n v="218"/>
    <n v="113"/>
    <s v="Delivered"/>
    <n v="17"/>
    <s v="Low"/>
    <s v="No"/>
    <s v="Restaurant Delay"/>
    <n v="80.999999999999872"/>
    <n v="7.000000000000135"/>
    <n v="1.9999999999999929"/>
    <n v="40.999999999999858"/>
    <n v="14"/>
    <s v="Afternoon"/>
    <s v="Off-Peak"/>
    <n v="0.15804878048780543"/>
    <n v="17.438271604938272"/>
    <n v="0.51834862385321101"/>
    <s v="Late"/>
    <s v="No Delay"/>
    <x v="1"/>
  </r>
  <r>
    <s v="O26"/>
    <s v="16:28"/>
    <s v="Normal"/>
    <n v="15"/>
    <s v="16:43"/>
    <s v="16:44"/>
    <d v="1899-12-30T16:49:00"/>
    <s v="17:16"/>
    <n v="4.3899999999999997"/>
    <s v="R5"/>
    <n v="171"/>
    <n v="92"/>
    <s v="Failed"/>
    <n v="20"/>
    <s v="Low"/>
    <s v="Yes"/>
    <s v="Restaurant Delay"/>
    <n v="48.000000000000149"/>
    <n v="1.0000000000001563"/>
    <n v="4.9999999999999822"/>
    <n v="26.999999999999904"/>
    <n v="16"/>
    <s v="Evening"/>
    <s v="Off-Peak"/>
    <n v="0.16259259259259315"/>
    <n v="20.956719817767656"/>
    <n v="0.53801169590643272"/>
    <s v="Late"/>
    <s v="Restaurant Delay"/>
    <x v="0"/>
  </r>
  <r>
    <s v="O27"/>
    <s v="12:53"/>
    <s v="Normal"/>
    <n v="18"/>
    <s v="13:11"/>
    <s v="13:13"/>
    <d v="1899-12-30T13:17:00"/>
    <s v="13:58"/>
    <n v="6.31"/>
    <s v="R4"/>
    <n v="237"/>
    <n v="115"/>
    <s v="Delivered"/>
    <n v="13"/>
    <s v="Medium"/>
    <s v="No"/>
    <s v="Distance"/>
    <n v="65.000000000000085"/>
    <n v="1.9999999999999929"/>
    <n v="3.9999999999999858"/>
    <n v="41.000000000000014"/>
    <n v="12"/>
    <s v="Afternoon"/>
    <s v="Peak"/>
    <n v="0.15390243902439019"/>
    <n v="18.225039619651348"/>
    <n v="0.48523206751054854"/>
    <s v="Late"/>
    <s v="No Delay"/>
    <x v="1"/>
  </r>
  <r>
    <s v="O28"/>
    <s v="14:58"/>
    <s v="Normal"/>
    <n v="19"/>
    <s v="15:17"/>
    <s v="15:17"/>
    <d v="1899-12-30T15:18:00"/>
    <s v="15:36"/>
    <n v="1.95"/>
    <s v="R3"/>
    <n v="254"/>
    <n v="67"/>
    <s v="Delivered"/>
    <n v="20"/>
    <s v="Low"/>
    <s v="No"/>
    <s v="None"/>
    <n v="38.000000000000028"/>
    <n v="0"/>
    <n v="0.99999999999999645"/>
    <n v="18.000000000000096"/>
    <n v="14"/>
    <s v="Afternoon"/>
    <s v="Off-Peak"/>
    <n v="0.10833333333333275"/>
    <n v="34.358974358974358"/>
    <n v="0.26377952755905509"/>
    <s v="On-Time"/>
    <s v="No Delay"/>
    <x v="2"/>
  </r>
  <r>
    <s v="O29"/>
    <s v="16:29"/>
    <s v="Normal"/>
    <n v="12"/>
    <s v="16:41"/>
    <s v="16:44"/>
    <d v="1899-12-30T16:45:00"/>
    <s v="17:02"/>
    <n v="1.8"/>
    <s v="R19"/>
    <n v="207"/>
    <n v="65"/>
    <s v="Failed"/>
    <n v="16"/>
    <s v="Low"/>
    <s v="Yes"/>
    <s v="Restaurant Delay"/>
    <n v="33.000000000000043"/>
    <n v="3.0000000000001492"/>
    <n v="0.99999999999999645"/>
    <n v="16.99999999999994"/>
    <n v="16"/>
    <s v="Evening"/>
    <s v="Off-Peak"/>
    <n v="0.10588235294117684"/>
    <n v="36.111111111111107"/>
    <n v="0.3140096618357488"/>
    <s v="On-Time"/>
    <s v="Restaurant Delay"/>
    <x v="2"/>
  </r>
  <r>
    <s v="O30"/>
    <s v="11:23"/>
    <s v="Normal"/>
    <n v="15"/>
    <s v="11:38"/>
    <s v="11:38"/>
    <d v="1899-12-30T11:41:00"/>
    <s v="12:17"/>
    <n v="4.74"/>
    <s v="R4"/>
    <n v="220"/>
    <n v="101"/>
    <s v="Delivered"/>
    <n v="14"/>
    <s v="Medium"/>
    <s v="No"/>
    <s v="None"/>
    <n v="53.999999999999972"/>
    <n v="0"/>
    <n v="2.9999999999999893"/>
    <n v="35.99999999999995"/>
    <n v="11"/>
    <s v="Late Morning"/>
    <s v="Off-Peak"/>
    <n v="0.13166666666666685"/>
    <n v="21.308016877637129"/>
    <n v="0.45909090909090911"/>
    <s v="Late"/>
    <s v="No Delay"/>
    <x v="0"/>
  </r>
  <r>
    <s v="O31"/>
    <s v="10:46"/>
    <s v="Normal"/>
    <n v="10"/>
    <s v="10:56"/>
    <s v="10:59"/>
    <d v="1899-12-30T11:05:00"/>
    <s v="11:21"/>
    <n v="1.1000000000000001"/>
    <s v="R2"/>
    <n v="376"/>
    <n v="66"/>
    <s v="Delivered"/>
    <n v="16"/>
    <s v="Medium"/>
    <s v="No"/>
    <s v="None"/>
    <n v="34.999999999999957"/>
    <n v="2.9999999999999893"/>
    <n v="5.9999999999999787"/>
    <n v="16.000000000000021"/>
    <n v="10"/>
    <s v="Late Morning"/>
    <s v="Off-Peak"/>
    <n v="6.8749999999999908E-2"/>
    <n v="59.999999999999993"/>
    <n v="0.17553191489361702"/>
    <s v="On-Time"/>
    <s v="No Delay"/>
    <x v="2"/>
  </r>
  <r>
    <s v="O32"/>
    <s v="13:12"/>
    <s v="Normal"/>
    <n v="19"/>
    <s v="13:31"/>
    <s v="13:32"/>
    <d v="1899-12-30T13:34:00"/>
    <s v="13:54"/>
    <n v="1.81"/>
    <s v="R4"/>
    <n v="190"/>
    <n v="69"/>
    <s v="Delivered"/>
    <n v="15"/>
    <s v="Medium"/>
    <s v="No"/>
    <s v="None"/>
    <n v="42.000000000000171"/>
    <n v="0.99999999999999645"/>
    <n v="1.9999999999999929"/>
    <n v="20.000000000000089"/>
    <n v="13"/>
    <s v="Afternoon"/>
    <s v="Peak"/>
    <n v="9.0499999999999595E-2"/>
    <n v="38.121546961325969"/>
    <n v="0.36315789473684212"/>
    <s v="On-Time"/>
    <s v="No Delay"/>
    <x v="2"/>
  </r>
  <r>
    <s v="O33"/>
    <s v="17:25"/>
    <s v="Normal"/>
    <n v="16"/>
    <s v="17:41"/>
    <s v="17:43"/>
    <d v="1899-12-30T17:49:00"/>
    <s v="18:35"/>
    <n v="7.36"/>
    <s v="R16"/>
    <n v="332"/>
    <n v="127"/>
    <s v="Delivered"/>
    <n v="18"/>
    <s v="Medium"/>
    <s v="No"/>
    <s v="Distance"/>
    <n v="69.999999999999744"/>
    <n v="1.999999999999833"/>
    <n v="5.9999999999999787"/>
    <n v="46"/>
    <n v="17"/>
    <s v="Evening"/>
    <s v="Peak"/>
    <n v="0.16"/>
    <n v="17.255434782608695"/>
    <n v="0.38253012048192769"/>
    <s v="Late"/>
    <s v="No Delay"/>
    <x v="1"/>
  </r>
  <r>
    <s v="O34"/>
    <s v="15:22"/>
    <s v="Bulk"/>
    <n v="35"/>
    <s v="15:57"/>
    <s v="16:04"/>
    <d v="1899-12-30T16:09:00"/>
    <s v="16:16"/>
    <n v="1.07"/>
    <s v="R15"/>
    <n v="231"/>
    <n v="55"/>
    <s v="Delivered"/>
    <n v="15"/>
    <s v="Low"/>
    <s v="No"/>
    <s v="Restaurant Delay"/>
    <n v="53.999999999999808"/>
    <n v="6.9999999999999751"/>
    <n v="4.9999999999999822"/>
    <n v="6.9999999999999751"/>
    <n v="15"/>
    <s v="Evening"/>
    <s v="Off-Peak"/>
    <n v="0.15285714285714341"/>
    <n v="51.401869158878505"/>
    <n v="0.23809523809523808"/>
    <s v="Late"/>
    <s v="No Delay"/>
    <x v="2"/>
  </r>
  <r>
    <s v="O35"/>
    <s v="16:40"/>
    <s v="Normal"/>
    <n v="11"/>
    <s v="16:51"/>
    <s v="16:54"/>
    <d v="1899-12-30T16:56:00"/>
    <s v="17:41"/>
    <n v="7.79"/>
    <s v="R20"/>
    <n v="205"/>
    <n v="124"/>
    <s v="Delivered"/>
    <n v="15"/>
    <s v="Low"/>
    <s v="No"/>
    <s v="Distance"/>
    <n v="60.999999999999943"/>
    <n v="2.9999999999998295"/>
    <n v="1.9999999999999929"/>
    <n v="45.000000000000156"/>
    <n v="16"/>
    <s v="Evening"/>
    <s v="Off-Peak"/>
    <n v="0.17311111111111052"/>
    <n v="15.917843388960206"/>
    <n v="0.60487804878048779"/>
    <s v="Late"/>
    <s v="No Delay"/>
    <x v="1"/>
  </r>
  <r>
    <s v="O36"/>
    <s v="19:15"/>
    <s v="Normal"/>
    <n v="17"/>
    <s v="19:32"/>
    <s v="19:33"/>
    <d v="1899-12-30T19:42:00"/>
    <s v="20:05"/>
    <n v="2.2799999999999998"/>
    <s v="R12"/>
    <n v="213"/>
    <n v="81"/>
    <s v="Delivered"/>
    <n v="10"/>
    <s v="High"/>
    <s v="No"/>
    <s v="Traffic"/>
    <n v="49.999999999999822"/>
    <n v="0.99999999999983658"/>
    <n v="8.999999999999968"/>
    <n v="22.999999999999918"/>
    <n v="19"/>
    <s v="Peak Night"/>
    <s v="Peak"/>
    <n v="9.9130434782609037E-2"/>
    <n v="35.526315789473685"/>
    <n v="0.38028169014084506"/>
    <s v="Late"/>
    <s v="No Delay"/>
    <x v="0"/>
  </r>
  <r>
    <s v="O37"/>
    <s v="11:23"/>
    <s v="Normal"/>
    <n v="11"/>
    <s v="11:34"/>
    <s v="11:36"/>
    <d v="1899-12-30T11:39:00"/>
    <s v="11:59"/>
    <n v="1.63"/>
    <s v="R10"/>
    <n v="249"/>
    <n v="69"/>
    <s v="Delivered"/>
    <n v="18"/>
    <s v="Medium"/>
    <s v="No"/>
    <s v="None"/>
    <n v="35.99999999999995"/>
    <n v="1.9999999999999929"/>
    <n v="2.9999999999999893"/>
    <n v="19.999999999999929"/>
    <n v="11"/>
    <s v="Late Morning"/>
    <s v="Off-Peak"/>
    <n v="8.1500000000000281E-2"/>
    <n v="42.331288343558285"/>
    <n v="0.27710843373493976"/>
    <s v="On-Time"/>
    <s v="No Delay"/>
    <x v="2"/>
  </r>
  <r>
    <s v="O38"/>
    <s v="10:42"/>
    <s v="Normal"/>
    <n v="15"/>
    <s v="10:57"/>
    <s v="10:59"/>
    <d v="1899-12-30T11:04:00"/>
    <s v="11:51"/>
    <n v="7.25"/>
    <s v="R18"/>
    <n v="175"/>
    <n v="126"/>
    <s v="Delivered"/>
    <n v="18"/>
    <s v="Medium"/>
    <s v="No"/>
    <s v="Distance"/>
    <n v="69"/>
    <n v="1.9999999999999929"/>
    <n v="4.9999999999999822"/>
    <n v="46.999999999999993"/>
    <n v="10"/>
    <s v="Late Morning"/>
    <s v="Off-Peak"/>
    <n v="0.1542553191489362"/>
    <n v="17.379310344827587"/>
    <n v="0.72"/>
    <s v="Late"/>
    <s v="No Delay"/>
    <x v="1"/>
  </r>
  <r>
    <s v="O39"/>
    <s v="19:52"/>
    <s v="Normal"/>
    <n v="11"/>
    <s v="20:03"/>
    <s v="20:09"/>
    <d v="1899-12-30T20:16:00"/>
    <s v="20:34"/>
    <n v="1.1399999999999999"/>
    <s v="R18"/>
    <n v="218"/>
    <n v="69"/>
    <s v="Delivered"/>
    <n v="9"/>
    <s v="High"/>
    <s v="No"/>
    <s v="Traffic"/>
    <n v="41.999999999999851"/>
    <n v="5.9999999999998188"/>
    <n v="6.9999999999999751"/>
    <n v="18.000000000000096"/>
    <n v="19"/>
    <s v="Peak Night"/>
    <s v="Peak"/>
    <n v="6.3333333333332992E-2"/>
    <n v="60.526315789473692"/>
    <n v="0.3165137614678899"/>
    <s v="On-Time"/>
    <s v="No Delay"/>
    <x v="2"/>
  </r>
  <r>
    <s v="O40"/>
    <s v="11:12"/>
    <s v="Normal"/>
    <n v="10"/>
    <s v="11:22"/>
    <s v="11:24"/>
    <d v="1899-12-30T11:26:00"/>
    <s v="11:51"/>
    <n v="3.04"/>
    <s v="R5"/>
    <n v="370"/>
    <n v="80"/>
    <s v="Delivered"/>
    <n v="17"/>
    <s v="Medium"/>
    <s v="No"/>
    <s v="None"/>
    <n v="39.000000000000021"/>
    <n v="1.9999999999999929"/>
    <n v="1.9999999999999929"/>
    <n v="24.999999999999911"/>
    <n v="11"/>
    <s v="Late Morning"/>
    <s v="Off-Peak"/>
    <n v="0.12160000000000043"/>
    <n v="26.315789473684209"/>
    <n v="0.21621621621621623"/>
    <s v="On-Time"/>
    <s v="No Delay"/>
    <x v="0"/>
  </r>
  <r>
    <s v="O41"/>
    <s v="11:43"/>
    <s v="Normal"/>
    <n v="15"/>
    <s v="11:58"/>
    <s v="11:59"/>
    <d v="1899-12-30T12:00:00"/>
    <s v="12:53"/>
    <n v="7.64"/>
    <s v="R5"/>
    <n v="188"/>
    <n v="130"/>
    <s v="Delivered"/>
    <n v="12"/>
    <s v="Medium"/>
    <s v="No"/>
    <s v="Distance"/>
    <n v="69.999999999999986"/>
    <n v="0.99999999999991651"/>
    <n v="0.99999999999999645"/>
    <n v="53.00000000000005"/>
    <n v="11"/>
    <s v="Late Morning"/>
    <s v="Off-Peak"/>
    <n v="0.14415094339622628"/>
    <n v="17.015706806282722"/>
    <n v="0.69148936170212771"/>
    <s v="Late"/>
    <s v="No Delay"/>
    <x v="1"/>
  </r>
  <r>
    <s v="O42"/>
    <s v="15:27"/>
    <s v="Normal"/>
    <n v="18"/>
    <s v="15:45"/>
    <s v="15:46"/>
    <d v="1899-12-30T15:49:00"/>
    <s v="16:04"/>
    <n v="1.88"/>
    <s v="R2"/>
    <n v="383"/>
    <n v="65"/>
    <s v="Delivered"/>
    <n v="19"/>
    <s v="Low"/>
    <s v="No"/>
    <s v="None"/>
    <n v="37.000000000000028"/>
    <n v="0.99999999999999645"/>
    <n v="2.9999999999999893"/>
    <n v="14.999999999999947"/>
    <n v="15"/>
    <s v="Evening"/>
    <s v="Off-Peak"/>
    <n v="0.12533333333333377"/>
    <n v="34.574468085106382"/>
    <n v="0.16971279373368145"/>
    <s v="On-Time"/>
    <s v="No Delay"/>
    <x v="2"/>
  </r>
  <r>
    <s v="O43"/>
    <s v="15:23"/>
    <s v="Normal"/>
    <n v="19"/>
    <s v="15:42"/>
    <s v="15:43"/>
    <d v="1899-12-30T15:48:00"/>
    <s v="16:28"/>
    <n v="6.89"/>
    <s v="R18"/>
    <n v="260"/>
    <n v="117"/>
    <s v="Delivered"/>
    <n v="20"/>
    <s v="Low"/>
    <s v="No"/>
    <s v="Distance"/>
    <n v="64.999999999999929"/>
    <n v="0.99999999999999645"/>
    <n v="4.9999999999999822"/>
    <n v="39.999999999999858"/>
    <n v="15"/>
    <s v="Evening"/>
    <s v="Off-Peak"/>
    <n v="0.1722500000000006"/>
    <n v="16.981132075471699"/>
    <n v="0.45"/>
    <s v="Late"/>
    <s v="No Delay"/>
    <x v="1"/>
  </r>
  <r>
    <s v="O44"/>
    <s v="12:41"/>
    <s v="Bulk"/>
    <n v="32"/>
    <s v="13:13"/>
    <s v="13:21"/>
    <d v="1899-12-30T13:26:00"/>
    <s v="14:01"/>
    <n v="5.77"/>
    <s v="R9"/>
    <n v="290"/>
    <n v="107"/>
    <s v="Delivered"/>
    <n v="14"/>
    <s v="Medium"/>
    <s v="No"/>
    <s v="Restaurant Delay"/>
    <n v="80.000000000000028"/>
    <n v="7.9999999999999716"/>
    <n v="4.9999999999999822"/>
    <n v="35.000000000000036"/>
    <n v="12"/>
    <s v="Afternoon"/>
    <s v="Peak"/>
    <n v="0.16485714285714267"/>
    <n v="18.544194107452341"/>
    <n v="0.36896551724137933"/>
    <s v="Late"/>
    <s v="No Delay"/>
    <x v="1"/>
  </r>
  <r>
    <s v="O45"/>
    <s v="19:14"/>
    <s v="Normal"/>
    <n v="18"/>
    <s v="19:32"/>
    <s v="19:34"/>
    <d v="1899-12-30T19:41:00"/>
    <s v="20:09"/>
    <n v="3.77"/>
    <s v="R1"/>
    <n v="274"/>
    <n v="92"/>
    <s v="Delivered"/>
    <n v="11"/>
    <s v="High"/>
    <s v="No"/>
    <s v="Traffic"/>
    <n v="54.999999999999801"/>
    <n v="1.999999999999833"/>
    <n v="6.9999999999999751"/>
    <n v="27.999999999999901"/>
    <n v="19"/>
    <s v="Peak Night"/>
    <s v="Peak"/>
    <n v="0.13464285714285762"/>
    <n v="24.403183023872678"/>
    <n v="0.33576642335766421"/>
    <s v="Late"/>
    <s v="No Delay"/>
    <x v="0"/>
  </r>
  <r>
    <s v="O46"/>
    <s v="17:06"/>
    <s v="Normal"/>
    <n v="10"/>
    <s v="17:16"/>
    <s v="17:17"/>
    <d v="1899-12-30T17:19:00"/>
    <s v="17:51"/>
    <n v="3.48"/>
    <s v="R9"/>
    <n v="185"/>
    <n v="89"/>
    <s v="Delivered"/>
    <n v="12"/>
    <s v="Medium"/>
    <s v="No"/>
    <s v="None"/>
    <n v="45"/>
    <n v="1.0000000000001563"/>
    <n v="1.9999999999999929"/>
    <n v="31.999999999999886"/>
    <n v="17"/>
    <s v="Evening"/>
    <s v="Peak"/>
    <n v="0.10875000000000039"/>
    <n v="25.574712643678161"/>
    <n v="0.48108108108108111"/>
    <s v="On-Time"/>
    <s v="No Delay"/>
    <x v="0"/>
  </r>
  <r>
    <s v="O47"/>
    <s v="14:43"/>
    <s v="Normal"/>
    <n v="16"/>
    <s v="14:59"/>
    <s v="15:02"/>
    <d v="1899-12-30T15:08:00"/>
    <s v="15:21"/>
    <n v="1.62"/>
    <s v="R17"/>
    <n v="231"/>
    <n v="65"/>
    <s v="Failed"/>
    <n v="16"/>
    <s v="Low"/>
    <s v="Yes"/>
    <s v="Restaurant Delay"/>
    <n v="37.999999999999865"/>
    <n v="2.9999999999999893"/>
    <n v="5.9999999999999787"/>
    <n v="12.999999999999954"/>
    <n v="14"/>
    <s v="Afternoon"/>
    <s v="Off-Peak"/>
    <n v="0.12461538461538507"/>
    <n v="40.123456790123456"/>
    <n v="0.2813852813852814"/>
    <s v="On-Time"/>
    <s v="Restaurant Delay"/>
    <x v="2"/>
  </r>
  <r>
    <s v="O48"/>
    <s v="17:28"/>
    <s v="Normal"/>
    <n v="20"/>
    <s v="17:48"/>
    <s v="17:51"/>
    <d v="1899-12-30T17:55:00"/>
    <s v="18:17"/>
    <n v="2.67"/>
    <s v="R8"/>
    <n v="394"/>
    <n v="77"/>
    <s v="Delivered"/>
    <n v="17"/>
    <s v="Medium"/>
    <s v="No"/>
    <s v="None"/>
    <n v="49.000000000000142"/>
    <n v="2.9999999999999893"/>
    <n v="3.9999999999999858"/>
    <n v="22.000000000000082"/>
    <n v="17"/>
    <s v="Evening"/>
    <s v="Peak"/>
    <n v="0.12136363636363591"/>
    <n v="28.838951310861425"/>
    <n v="0.19543147208121828"/>
    <s v="Late"/>
    <s v="No Delay"/>
    <x v="0"/>
  </r>
  <r>
    <s v="O49"/>
    <s v="17:02"/>
    <s v="Normal"/>
    <n v="19"/>
    <s v="17:21"/>
    <s v="17:22"/>
    <d v="1899-12-30T17:26:00"/>
    <s v="17:53"/>
    <n v="2.93"/>
    <s v="R17"/>
    <n v="345"/>
    <n v="84"/>
    <s v="Failed"/>
    <n v="17"/>
    <s v="Medium"/>
    <s v="Yes"/>
    <s v="Restaurant Delay"/>
    <n v="50.999999999999979"/>
    <n v="0.99999999999983658"/>
    <n v="3.9999999999999858"/>
    <n v="27.000000000000064"/>
    <n v="17"/>
    <s v="Evening"/>
    <s v="Peak"/>
    <n v="0.10851851851851826"/>
    <n v="28.668941979522184"/>
    <n v="0.24347826086956523"/>
    <s v="Late"/>
    <s v="Restaurant Delay"/>
    <x v="0"/>
  </r>
  <r>
    <s v="O50"/>
    <s v="16:17"/>
    <s v="Normal"/>
    <n v="13"/>
    <s v="16:30"/>
    <s v="16:32"/>
    <d v="1899-12-30T16:35:00"/>
    <s v="17:10"/>
    <n v="5.85"/>
    <s v="R15"/>
    <n v="329"/>
    <n v="105"/>
    <s v="Delivered"/>
    <n v="17"/>
    <s v="Low"/>
    <s v="No"/>
    <s v="None"/>
    <n v="52.999999999999972"/>
    <n v="2.0000000000001528"/>
    <n v="2.9999999999999893"/>
    <n v="34.999999999999872"/>
    <n v="16"/>
    <s v="Evening"/>
    <s v="Off-Peak"/>
    <n v="0.16714285714285773"/>
    <n v="17.948717948717949"/>
    <n v="0.31914893617021278"/>
    <s v="Late"/>
    <s v="No Delay"/>
    <x v="1"/>
  </r>
  <r>
    <s v="O51"/>
    <s v="11:27"/>
    <s v="Normal"/>
    <n v="19"/>
    <s v="11:46"/>
    <s v="11:47"/>
    <d v="1899-12-30T11:50:00"/>
    <s v="12:21"/>
    <n v="3.64"/>
    <s v="R19"/>
    <n v="205"/>
    <n v="90"/>
    <s v="Delivered"/>
    <n v="16"/>
    <s v="Medium"/>
    <s v="No"/>
    <s v="None"/>
    <n v="53.999999999999972"/>
    <n v="0.99999999999991651"/>
    <n v="2.9999999999999893"/>
    <n v="30.999999999999972"/>
    <n v="11"/>
    <s v="Late Morning"/>
    <s v="Off-Peak"/>
    <n v="0.11741935483870979"/>
    <n v="24.725274725274723"/>
    <n v="0.43902439024390244"/>
    <s v="Late"/>
    <s v="No Delay"/>
    <x v="0"/>
  </r>
  <r>
    <s v="O52"/>
    <s v="10:53"/>
    <s v="Normal"/>
    <n v="16"/>
    <s v="11:09"/>
    <s v="11:10"/>
    <d v="1899-12-30T11:12:00"/>
    <s v="11:44"/>
    <n v="3.44"/>
    <s v="R17"/>
    <n v="160"/>
    <n v="89"/>
    <s v="Delivered"/>
    <n v="17"/>
    <s v="Medium"/>
    <s v="No"/>
    <s v="None"/>
    <n v="50.999999999999979"/>
    <n v="0.99999999999991651"/>
    <n v="1.9999999999999929"/>
    <n v="32.000000000000043"/>
    <n v="10"/>
    <s v="Late Morning"/>
    <s v="Off-Peak"/>
    <n v="0.10749999999999986"/>
    <n v="25.872093023255815"/>
    <n v="0.55625000000000002"/>
    <s v="Late"/>
    <s v="No Delay"/>
    <x v="0"/>
  </r>
  <r>
    <s v="O53"/>
    <s v="11:32"/>
    <s v="Normal"/>
    <n v="20"/>
    <s v="11:52"/>
    <s v="11:52"/>
    <d v="1899-12-30T11:54:00"/>
    <s v="12:36"/>
    <n v="6.16"/>
    <s v="R20"/>
    <n v="185"/>
    <n v="113"/>
    <s v="Delivered"/>
    <n v="12"/>
    <s v="Medium"/>
    <s v="No"/>
    <s v="Distance"/>
    <n v="64.000000000000014"/>
    <n v="0"/>
    <n v="1.9999999999999929"/>
    <n v="42.000000000000014"/>
    <n v="11"/>
    <s v="Late Morning"/>
    <s v="Off-Peak"/>
    <n v="0.14666666666666661"/>
    <n v="18.344155844155843"/>
    <n v="0.61081081081081079"/>
    <s v="Late"/>
    <s v="No Delay"/>
    <x v="1"/>
  </r>
  <r>
    <s v="O54"/>
    <s v="11:23"/>
    <s v="Normal"/>
    <n v="13"/>
    <s v="11:36"/>
    <s v="11:39"/>
    <d v="1899-12-30T11:43:00"/>
    <s v="12:31"/>
    <n v="7.58"/>
    <s v="R11"/>
    <n v="382"/>
    <n v="128"/>
    <s v="Delivered"/>
    <n v="18"/>
    <s v="Medium"/>
    <s v="No"/>
    <s v="Distance"/>
    <n v="68.000000000000085"/>
    <n v="2.9999999999999893"/>
    <n v="3.9999999999999858"/>
    <n v="48.000000000000071"/>
    <n v="11"/>
    <s v="Late Morning"/>
    <s v="Off-Peak"/>
    <n v="0.15791666666666643"/>
    <n v="16.886543535620053"/>
    <n v="0.33507853403141363"/>
    <s v="Late"/>
    <s v="No Delay"/>
    <x v="1"/>
  </r>
  <r>
    <s v="O55"/>
    <s v="17:28"/>
    <s v="Bulk"/>
    <n v="40"/>
    <s v="18:08"/>
    <s v="18:17"/>
    <d v="1899-12-30T18:18:00"/>
    <s v="18:49"/>
    <n v="4.0199999999999996"/>
    <s v="R10"/>
    <n v="180"/>
    <n v="90"/>
    <s v="Delivered"/>
    <n v="13"/>
    <s v="Medium"/>
    <s v="No"/>
    <s v="Restaurant Delay"/>
    <n v="81.000000000000028"/>
    <n v="9.0000000000001279"/>
    <n v="0.99999999999999645"/>
    <n v="30.99999999999989"/>
    <n v="17"/>
    <s v="Evening"/>
    <s v="Peak"/>
    <n v="0.12967741935483915"/>
    <n v="22.388059701492541"/>
    <n v="0.5"/>
    <s v="Late"/>
    <s v="No Delay"/>
    <x v="0"/>
  </r>
  <r>
    <s v="O56"/>
    <s v="14:44"/>
    <s v="Normal"/>
    <n v="18"/>
    <s v="15:02"/>
    <s v="15:02"/>
    <d v="1899-12-30T15:07:00"/>
    <s v="15:33"/>
    <n v="4.7"/>
    <s v="R9"/>
    <n v="212"/>
    <n v="93"/>
    <s v="Failed"/>
    <n v="15"/>
    <s v="Low"/>
    <s v="Yes"/>
    <s v="Restaurant Delay"/>
    <n v="49.000000000000142"/>
    <n v="0"/>
    <n v="4.9999999999999822"/>
    <n v="26.000000000000068"/>
    <n v="14"/>
    <s v="Afternoon"/>
    <s v="Off-Peak"/>
    <n v="0.18076923076923029"/>
    <n v="19.787234042553191"/>
    <n v="0.43867924528301888"/>
    <s v="Late"/>
    <s v="Restaurant Delay"/>
    <x v="0"/>
  </r>
  <r>
    <s v="O57"/>
    <s v="13:31"/>
    <s v="Normal"/>
    <n v="12"/>
    <s v="13:43"/>
    <s v="13:45"/>
    <d v="1899-12-30T13:49:00"/>
    <s v="14:12"/>
    <n v="2.91"/>
    <s v="R6"/>
    <n v="264"/>
    <n v="80"/>
    <s v="Delivered"/>
    <n v="16"/>
    <s v="Medium"/>
    <s v="No"/>
    <s v="None"/>
    <n v="41.000000000000014"/>
    <n v="1.9999999999999929"/>
    <n v="3.9999999999999858"/>
    <n v="23.000000000000078"/>
    <n v="13"/>
    <s v="Afternoon"/>
    <s v="Peak"/>
    <n v="0.12652173913043435"/>
    <n v="27.491408934707902"/>
    <n v="0.30303030303030304"/>
    <s v="On-Time"/>
    <s v="No Delay"/>
    <x v="0"/>
  </r>
  <r>
    <s v="O58"/>
    <s v="19:18"/>
    <s v="Normal"/>
    <n v="16"/>
    <s v="19:34"/>
    <s v="19:42"/>
    <d v="1899-12-30T19:49:00"/>
    <s v="20:26"/>
    <n v="4.99"/>
    <s v="R4"/>
    <n v="357"/>
    <n v="107"/>
    <s v="Delivered"/>
    <n v="8"/>
    <s v="High"/>
    <s v="No"/>
    <s v="Traffic"/>
    <n v="67.999999999999915"/>
    <n v="7.9999999999999716"/>
    <n v="6.9999999999999751"/>
    <n v="37.000000000000028"/>
    <n v="19"/>
    <s v="Peak Night"/>
    <s v="Peak"/>
    <n v="0.13486486486486476"/>
    <n v="21.442885771543086"/>
    <n v="0.29971988795518206"/>
    <s v="Late"/>
    <s v="No Delay"/>
    <x v="0"/>
  </r>
  <r>
    <s v="O59"/>
    <s v="10:24"/>
    <s v="Bulk"/>
    <n v="25"/>
    <s v="10:49"/>
    <s v="10:59"/>
    <d v="1899-12-30T11:00:00"/>
    <s v="11:51"/>
    <n v="7.75"/>
    <s v="R3"/>
    <n v="184"/>
    <n v="129"/>
    <s v="Delivered"/>
    <n v="16"/>
    <s v="Medium"/>
    <s v="No"/>
    <s v="Restaurant Delay"/>
    <n v="86.999999999999929"/>
    <n v="9.9999999999999645"/>
    <n v="0.99999999999999645"/>
    <n v="50.999999999999979"/>
    <n v="10"/>
    <s v="Late Morning"/>
    <s v="Off-Peak"/>
    <n v="0.15196078431372556"/>
    <n v="16.64516129032258"/>
    <n v="0.70108695652173914"/>
    <s v="Late"/>
    <s v="No Delay"/>
    <x v="1"/>
  </r>
  <r>
    <s v="O60"/>
    <s v="18:32"/>
    <s v="Normal"/>
    <n v="14"/>
    <s v="18:46"/>
    <s v="18:48"/>
    <d v="1899-12-30T18:51:00"/>
    <s v="19:32"/>
    <n v="5.74"/>
    <s v="R15"/>
    <n v="333"/>
    <n v="111"/>
    <s v="Failed"/>
    <n v="15"/>
    <s v="Medium"/>
    <s v="Yes"/>
    <s v="Restaurant Delay"/>
    <n v="60.000000000000107"/>
    <n v="1.9999999999999929"/>
    <n v="2.9999999999999893"/>
    <n v="41.000000000000171"/>
    <n v="18"/>
    <s v="Peak Night"/>
    <s v="Peak"/>
    <n v="0.13999999999999943"/>
    <n v="19.337979094076655"/>
    <n v="0.33333333333333331"/>
    <s v="Late"/>
    <s v="Restaurant Delay"/>
    <x v="1"/>
  </r>
  <r>
    <s v="O61"/>
    <s v="15:58"/>
    <s v="Normal"/>
    <n v="16"/>
    <s v="16:14"/>
    <s v="16:17"/>
    <d v="1899-12-30T16:21:00"/>
    <s v="16:57"/>
    <n v="5.78"/>
    <s v="R13"/>
    <n v="384"/>
    <n v="107"/>
    <s v="Delivered"/>
    <n v="17"/>
    <s v="Low"/>
    <s v="No"/>
    <s v="None"/>
    <n v="58.99999999999995"/>
    <n v="2.9999999999999893"/>
    <n v="3.9999999999999858"/>
    <n v="35.999999999999872"/>
    <n v="15"/>
    <s v="Evening"/>
    <s v="Off-Peak"/>
    <n v="0.16055555555555615"/>
    <n v="18.512110726643598"/>
    <n v="0.27864583333333331"/>
    <s v="Late"/>
    <s v="No Delay"/>
    <x v="1"/>
  </r>
  <r>
    <s v="O62"/>
    <s v="16:31"/>
    <s v="Normal"/>
    <n v="10"/>
    <s v="16:41"/>
    <s v="16:42"/>
    <d v="1899-12-30T16:43:00"/>
    <s v="17:19"/>
    <n v="5.19"/>
    <s v="R20"/>
    <n v="268"/>
    <n v="101"/>
    <s v="Delivered"/>
    <n v="17"/>
    <s v="Low"/>
    <s v="No"/>
    <s v="None"/>
    <n v="47.999999999999986"/>
    <n v="0.99999999999999645"/>
    <n v="0.99999999999999645"/>
    <n v="36.000000000000028"/>
    <n v="16"/>
    <s v="Evening"/>
    <s v="Off-Peak"/>
    <n v="0.14416666666666655"/>
    <n v="19.460500963391134"/>
    <n v="0.37686567164179102"/>
    <s v="Late"/>
    <s v="No Delay"/>
    <x v="1"/>
  </r>
  <r>
    <s v="O63"/>
    <s v="18:49"/>
    <s v="Normal"/>
    <n v="14"/>
    <s v="19:03"/>
    <s v="19:04"/>
    <d v="1899-12-30T19:08:00"/>
    <s v="19:37"/>
    <n v="4.1500000000000004"/>
    <s v="R13"/>
    <n v="150"/>
    <n v="92"/>
    <s v="Delivered"/>
    <n v="17"/>
    <s v="Medium"/>
    <s v="No"/>
    <s v="None"/>
    <n v="47.999999999999986"/>
    <n v="0.99999999999983658"/>
    <n v="3.9999999999999858"/>
    <n v="29.000000000000057"/>
    <n v="18"/>
    <s v="Peak Night"/>
    <s v="Peak"/>
    <n v="0.1431034482758618"/>
    <n v="22.168674698795179"/>
    <n v="0.61333333333333329"/>
    <s v="Late"/>
    <s v="No Delay"/>
    <x v="0"/>
  </r>
  <r>
    <s v="O64"/>
    <s v="19:53"/>
    <s v="Normal"/>
    <n v="16"/>
    <s v="20:09"/>
    <s v="20:09"/>
    <d v="1899-12-30T20:20:00"/>
    <s v="21:00"/>
    <n v="5.09"/>
    <s v="R8"/>
    <n v="340"/>
    <n v="114"/>
    <s v="Delivered"/>
    <n v="10"/>
    <s v="High"/>
    <s v="No"/>
    <s v="Traffic"/>
    <n v="67.000000000000085"/>
    <n v="0"/>
    <n v="10.999999999999961"/>
    <n v="40.000000000000178"/>
    <n v="19"/>
    <s v="Peak Night"/>
    <s v="Peak"/>
    <n v="0.12724999999999942"/>
    <n v="22.396856581532418"/>
    <n v="0.3352941176470588"/>
    <s v="Late"/>
    <s v="No Delay"/>
    <x v="1"/>
  </r>
  <r>
    <s v="O65"/>
    <s v="14:57"/>
    <s v="Normal"/>
    <n v="16"/>
    <s v="15:13"/>
    <s v="15:16"/>
    <d v="1899-12-30T15:18:00"/>
    <s v="15:38"/>
    <n v="2.09"/>
    <s v="R6"/>
    <n v="366"/>
    <n v="70"/>
    <s v="Delivered"/>
    <n v="20"/>
    <s v="Low"/>
    <s v="No"/>
    <s v="None"/>
    <n v="41.000000000000014"/>
    <n v="3.0000000000001492"/>
    <n v="1.9999999999999929"/>
    <n v="19.999999999999929"/>
    <n v="14"/>
    <s v="Afternoon"/>
    <s v="Off-Peak"/>
    <n v="0.10450000000000037"/>
    <n v="33.492822966507177"/>
    <n v="0.19125683060109289"/>
    <s v="On-Time"/>
    <s v="No Delay"/>
    <x v="0"/>
  </r>
  <r>
    <s v="O66"/>
    <s v="11:15"/>
    <s v="Normal"/>
    <n v="19"/>
    <s v="11:34"/>
    <s v="11:37"/>
    <d v="1899-12-30T11:41:00"/>
    <s v="12:27"/>
    <n v="7.39"/>
    <s v="R10"/>
    <n v="289"/>
    <n v="125"/>
    <s v="Delivered"/>
    <n v="12"/>
    <s v="Medium"/>
    <s v="No"/>
    <s v="Distance"/>
    <n v="71.999999999999901"/>
    <n v="2.9999999999999893"/>
    <n v="3.9999999999999858"/>
    <n v="45.999999999999915"/>
    <n v="11"/>
    <s v="Late Morning"/>
    <s v="Off-Peak"/>
    <n v="0.16065217391304376"/>
    <n v="16.914749661705006"/>
    <n v="0.43252595155709345"/>
    <s v="Late"/>
    <s v="No Delay"/>
    <x v="1"/>
  </r>
  <r>
    <s v="O67"/>
    <s v="12:35"/>
    <s v="Normal"/>
    <n v="14"/>
    <s v="12:49"/>
    <s v="12:49"/>
    <d v="1899-12-30T12:51:00"/>
    <s v="13:23"/>
    <n v="4.2699999999999996"/>
    <s v="R19"/>
    <n v="175"/>
    <n v="93"/>
    <s v="Delivered"/>
    <n v="15"/>
    <s v="Medium"/>
    <s v="No"/>
    <s v="None"/>
    <n v="47.999999999999986"/>
    <n v="0"/>
    <n v="1.9999999999999929"/>
    <n v="32.000000000000043"/>
    <n v="12"/>
    <s v="Afternoon"/>
    <s v="Peak"/>
    <n v="0.13343749999999982"/>
    <n v="21.779859484777521"/>
    <n v="0.53142857142857147"/>
    <s v="Late"/>
    <s v="No Delay"/>
    <x v="0"/>
  </r>
  <r>
    <s v="O68"/>
    <s v="17:12"/>
    <s v="Bulk"/>
    <n v="27"/>
    <s v="17:39"/>
    <s v="17:48"/>
    <d v="1899-12-30T17:52:00"/>
    <s v="18:08"/>
    <n v="1.1399999999999999"/>
    <s v="R3"/>
    <n v="191"/>
    <n v="64"/>
    <s v="Delivered"/>
    <n v="17"/>
    <s v="Medium"/>
    <s v="No"/>
    <s v="Restaurant Delay"/>
    <n v="55.999999999999957"/>
    <n v="9.0000000000001279"/>
    <n v="3.9999999999999858"/>
    <n v="15.999999999999943"/>
    <n v="17"/>
    <s v="Evening"/>
    <s v="Peak"/>
    <n v="7.1250000000000244E-2"/>
    <n v="56.140350877192986"/>
    <n v="0.33507853403141363"/>
    <s v="Late"/>
    <s v="No Delay"/>
    <x v="2"/>
  </r>
  <r>
    <s v="O69"/>
    <s v="16:51"/>
    <s v="Normal"/>
    <n v="14"/>
    <s v="17:05"/>
    <s v="17:06"/>
    <d v="1899-12-30T17:07:00"/>
    <s v="17:27"/>
    <n v="2.46"/>
    <s v="R9"/>
    <n v="235"/>
    <n v="71"/>
    <s v="Delivered"/>
    <n v="19"/>
    <s v="Low"/>
    <s v="No"/>
    <s v="None"/>
    <n v="35.999999999999872"/>
    <n v="1.0000000000001563"/>
    <n v="0.99999999999999645"/>
    <n v="19.999999999999929"/>
    <n v="16"/>
    <s v="Evening"/>
    <s v="Off-Peak"/>
    <n v="0.12300000000000043"/>
    <n v="28.86178861788618"/>
    <n v="0.30212765957446808"/>
    <s v="On-Time"/>
    <s v="No Delay"/>
    <x v="0"/>
  </r>
  <r>
    <s v="O70"/>
    <s v="11:10"/>
    <s v="Bulk"/>
    <n v="36"/>
    <s v="11:46"/>
    <s v="11:51"/>
    <d v="1899-12-30T11:52:00"/>
    <s v="12:31"/>
    <n v="4.9000000000000004"/>
    <s v="R18"/>
    <n v="317"/>
    <n v="103"/>
    <s v="Delivered"/>
    <n v="15"/>
    <s v="Medium"/>
    <s v="No"/>
    <s v="Restaurant Delay"/>
    <n v="81.000000000000114"/>
    <n v="4.9999999999999023"/>
    <n v="0.99999999999999645"/>
    <n v="39.000000000000099"/>
    <n v="11"/>
    <s v="Late Morning"/>
    <s v="Off-Peak"/>
    <n v="0.12564102564102533"/>
    <n v="21.020408163265305"/>
    <n v="0.32492113564668768"/>
    <s v="Late"/>
    <s v="No Delay"/>
    <x v="0"/>
  </r>
  <r>
    <s v="O71"/>
    <s v="14:36"/>
    <s v="Normal"/>
    <n v="13"/>
    <s v="14:49"/>
    <s v="14:52"/>
    <d v="1899-12-30T14:57:00"/>
    <s v="15:22"/>
    <n v="3.8"/>
    <s v="R20"/>
    <n v="371"/>
    <n v="87"/>
    <s v="Delivered"/>
    <n v="18"/>
    <s v="Low"/>
    <s v="No"/>
    <s v="None"/>
    <n v="46.000000000000156"/>
    <n v="2.9999999999999893"/>
    <n v="4.9999999999999822"/>
    <n v="25.000000000000071"/>
    <n v="14"/>
    <s v="Afternoon"/>
    <s v="Off-Peak"/>
    <n v="0.15199999999999955"/>
    <n v="22.894736842105264"/>
    <n v="0.23450134770889489"/>
    <s v="Late"/>
    <s v="No Delay"/>
    <x v="0"/>
  </r>
  <r>
    <s v="O72"/>
    <s v="15:37"/>
    <s v="Normal"/>
    <n v="14"/>
    <s v="15:51"/>
    <s v="15:51"/>
    <d v="1899-12-30T15:56:00"/>
    <s v="16:16"/>
    <n v="2.71"/>
    <s v="R20"/>
    <n v="372"/>
    <n v="77"/>
    <s v="Delivered"/>
    <n v="19"/>
    <s v="Low"/>
    <s v="No"/>
    <s v="None"/>
    <n v="38.999999999999858"/>
    <n v="0"/>
    <n v="4.9999999999999822"/>
    <n v="19.999999999999929"/>
    <n v="15"/>
    <s v="Evening"/>
    <s v="Off-Peak"/>
    <n v="0.13550000000000048"/>
    <n v="28.41328413284133"/>
    <n v="0.20698924731182797"/>
    <s v="On-Time"/>
    <s v="No Delay"/>
    <x v="0"/>
  </r>
  <r>
    <s v="O73"/>
    <s v="16:52"/>
    <s v="Normal"/>
    <n v="16"/>
    <s v="17:08"/>
    <s v="17:09"/>
    <d v="1899-12-30T17:14:00"/>
    <s v="17:29"/>
    <n v="2.33"/>
    <s v="R15"/>
    <n v="298"/>
    <n v="70"/>
    <s v="Delivered"/>
    <n v="16"/>
    <s v="Low"/>
    <s v="No"/>
    <s v="None"/>
    <n v="37.000000000000028"/>
    <n v="0.99999999999983658"/>
    <n v="4.9999999999999822"/>
    <n v="15.000000000000266"/>
    <n v="16"/>
    <s v="Evening"/>
    <s v="Off-Peak"/>
    <n v="0.15533333333333058"/>
    <n v="30.04291845493562"/>
    <n v="0.2348993288590604"/>
    <s v="On-Time"/>
    <s v="No Delay"/>
    <x v="0"/>
  </r>
  <r>
    <s v="O74"/>
    <s v="19:55"/>
    <s v="Normal"/>
    <n v="12"/>
    <s v="20:07"/>
    <s v="20:08"/>
    <d v="1899-12-30T20:18:00"/>
    <s v="20:50"/>
    <n v="4.22"/>
    <s v="R15"/>
    <n v="185"/>
    <n v="101"/>
    <s v="Delivered"/>
    <n v="12"/>
    <s v="High"/>
    <s v="No"/>
    <s v="Traffic"/>
    <n v="54.999999999999801"/>
    <n v="0.99999999999999645"/>
    <n v="9.9999999999999645"/>
    <n v="31.999999999999886"/>
    <n v="19"/>
    <s v="Peak Night"/>
    <s v="Peak"/>
    <n v="0.13187500000000046"/>
    <n v="23.933649289099527"/>
    <n v="0.54594594594594592"/>
    <s v="Late"/>
    <s v="No Delay"/>
    <x v="0"/>
  </r>
  <r>
    <s v="O75"/>
    <s v="16:09"/>
    <s v="Normal"/>
    <n v="16"/>
    <s v="16:25"/>
    <s v="16:27"/>
    <d v="1899-12-30T16:33:00"/>
    <s v="17:04"/>
    <n v="6.03"/>
    <s v="R11"/>
    <n v="251"/>
    <n v="105"/>
    <s v="Failed"/>
    <n v="16"/>
    <s v="Low"/>
    <s v="Yes"/>
    <s v="Restaurant Delay"/>
    <n v="55.000000000000128"/>
    <n v="1.9999999999999929"/>
    <n v="5.9999999999999787"/>
    <n v="31.00000000000005"/>
    <n v="16"/>
    <s v="Evening"/>
    <s v="Off-Peak"/>
    <n v="0.19451612903225776"/>
    <n v="17.412935323383085"/>
    <n v="0.41832669322709165"/>
    <s v="Late"/>
    <s v="Restaurant Delay"/>
    <x v="1"/>
  </r>
  <r>
    <s v="O76"/>
    <s v="18:24"/>
    <s v="Normal"/>
    <n v="12"/>
    <s v="18:36"/>
    <s v="18:36"/>
    <d v="1899-12-30T18:39:00"/>
    <s v="19:21"/>
    <n v="6.67"/>
    <s v="R2"/>
    <n v="205"/>
    <n v="116"/>
    <s v="Delivered"/>
    <n v="12"/>
    <s v="Medium"/>
    <s v="No"/>
    <s v="Distance"/>
    <n v="57.000000000000114"/>
    <n v="0"/>
    <n v="2.9999999999999893"/>
    <n v="42.000000000000014"/>
    <n v="18"/>
    <s v="Peak Night"/>
    <s v="Peak"/>
    <n v="0.15880952380952376"/>
    <n v="17.391304347826086"/>
    <n v="0.56585365853658531"/>
    <s v="Late"/>
    <s v="No Delay"/>
    <x v="1"/>
  </r>
  <r>
    <s v="O77"/>
    <s v="18:26"/>
    <s v="Normal"/>
    <n v="19"/>
    <s v="18:45"/>
    <s v="18:47"/>
    <d v="1899-12-30T18:48:00"/>
    <s v="19:29"/>
    <n v="5.64"/>
    <s v="R6"/>
    <n v="327"/>
    <n v="108"/>
    <s v="Delivered"/>
    <n v="15"/>
    <s v="Medium"/>
    <s v="No"/>
    <s v="None"/>
    <n v="62.999999999999936"/>
    <n v="2.0000000000001528"/>
    <n v="0.99999999999999645"/>
    <n v="40.999999999999858"/>
    <n v="18"/>
    <s v="Peak Night"/>
    <s v="Peak"/>
    <n v="0.13756097560975655"/>
    <n v="19.148936170212767"/>
    <n v="0.33027522935779818"/>
    <s v="Late"/>
    <s v="No Delay"/>
    <x v="1"/>
  </r>
  <r>
    <s v="O78"/>
    <s v="11:37"/>
    <s v="Normal"/>
    <n v="13"/>
    <s v="11:50"/>
    <s v="11:51"/>
    <d v="1899-12-30T11:55:00"/>
    <s v="12:24"/>
    <n v="3.65"/>
    <s v="R10"/>
    <n v="210"/>
    <n v="89"/>
    <s v="Delivered"/>
    <n v="15"/>
    <s v="Medium"/>
    <s v="No"/>
    <s v="None"/>
    <n v="47.000000000000071"/>
    <n v="0.99999999999991651"/>
    <n v="3.9999999999999858"/>
    <n v="29.000000000000135"/>
    <n v="11"/>
    <s v="Late Morning"/>
    <s v="Off-Peak"/>
    <n v="0.12586206896551666"/>
    <n v="24.383561643835616"/>
    <n v="0.4238095238095238"/>
    <s v="Late"/>
    <s v="No Delay"/>
    <x v="0"/>
  </r>
  <r>
    <s v="O79"/>
    <s v="17:53"/>
    <s v="Normal"/>
    <n v="16"/>
    <s v="18:09"/>
    <s v="18:11"/>
    <d v="1899-12-30T18:16:00"/>
    <s v="18:56"/>
    <n v="6"/>
    <s v="R7"/>
    <n v="178"/>
    <n v="113"/>
    <s v="Delivered"/>
    <n v="13"/>
    <s v="Medium"/>
    <s v="No"/>
    <s v="Distance"/>
    <n v="62.999999999999936"/>
    <n v="1.9999999999999929"/>
    <n v="4.9999999999999822"/>
    <n v="40.000000000000014"/>
    <n v="17"/>
    <s v="Evening"/>
    <s v="Peak"/>
    <n v="0.14999999999999994"/>
    <n v="18.833333333333332"/>
    <n v="0.6348314606741573"/>
    <s v="Late"/>
    <s v="No Delay"/>
    <x v="1"/>
  </r>
  <r>
    <s v="O80"/>
    <s v="11:20"/>
    <s v="Bulk"/>
    <n v="25"/>
    <s v="11:45"/>
    <s v="11:53"/>
    <d v="1899-12-30T11:56:00"/>
    <s v="12:24"/>
    <n v="3.24"/>
    <s v="R7"/>
    <n v="223"/>
    <n v="85"/>
    <s v="Delivered"/>
    <n v="18"/>
    <s v="Medium"/>
    <s v="No"/>
    <s v="Restaurant Delay"/>
    <n v="64.000000000000014"/>
    <n v="7.9999999999999716"/>
    <n v="2.9999999999999893"/>
    <n v="28.000000000000142"/>
    <n v="11"/>
    <s v="Late Morning"/>
    <s v="Off-Peak"/>
    <n v="0.11571428571428513"/>
    <n v="26.234567901234566"/>
    <n v="0.3811659192825112"/>
    <s v="Late"/>
    <s v="No Delay"/>
    <x v="0"/>
  </r>
  <r>
    <s v="O81"/>
    <s v="16:49"/>
    <s v="Normal"/>
    <n v="20"/>
    <s v="17:09"/>
    <s v="17:10"/>
    <d v="1899-12-30T17:14:00"/>
    <s v="17:22"/>
    <n v="1.1100000000000001"/>
    <s v="R2"/>
    <n v="288"/>
    <n v="56"/>
    <s v="Delivered"/>
    <n v="16"/>
    <s v="Low"/>
    <s v="No"/>
    <s v="None"/>
    <n v="33.000000000000043"/>
    <n v="1.0000000000001563"/>
    <n v="3.9999999999999858"/>
    <n v="7.9999999999999716"/>
    <n v="16"/>
    <s v="Evening"/>
    <s v="Off-Peak"/>
    <n v="0.13875000000000051"/>
    <n v="50.450450450450447"/>
    <n v="0.19444444444444445"/>
    <s v="On-Time"/>
    <s v="No Delay"/>
    <x v="2"/>
  </r>
  <r>
    <s v="O82"/>
    <s v="19:38"/>
    <s v="Normal"/>
    <n v="12"/>
    <s v="19:50"/>
    <s v="19:57"/>
    <d v="1899-12-30T20:05:00"/>
    <s v="20:48"/>
    <n v="5.57"/>
    <s v="R18"/>
    <n v="159"/>
    <n v="117"/>
    <s v="Delivered"/>
    <n v="8"/>
    <s v="High"/>
    <s v="No"/>
    <s v="Traffic"/>
    <n v="70.000000000000071"/>
    <n v="6.9999999999999751"/>
    <n v="7.9999999999999716"/>
    <n v="43.000000000000171"/>
    <n v="19"/>
    <s v="Peak Night"/>
    <s v="Peak"/>
    <n v="0.12953488372092972"/>
    <n v="21.005385996409334"/>
    <n v="0.73584905660377353"/>
    <s v="Late"/>
    <s v="No Delay"/>
    <x v="1"/>
  </r>
  <r>
    <s v="O83"/>
    <s v="11:02"/>
    <s v="Normal"/>
    <n v="12"/>
    <s v="11:14"/>
    <s v="11:17"/>
    <d v="1899-12-30T11:20:00"/>
    <s v="12:03"/>
    <n v="6.47"/>
    <s v="R16"/>
    <n v="157"/>
    <n v="116"/>
    <s v="Delivered"/>
    <n v="12"/>
    <s v="Medium"/>
    <s v="No"/>
    <s v="Distance"/>
    <n v="61.000000000000021"/>
    <n v="3.0000000000000693"/>
    <n v="2.9999999999999893"/>
    <n v="43.000000000000007"/>
    <n v="11"/>
    <s v="Late Morning"/>
    <s v="Off-Peak"/>
    <n v="0.15046511627906975"/>
    <n v="17.928902627511594"/>
    <n v="0.73885350318471332"/>
    <s v="Late"/>
    <s v="No Delay"/>
    <x v="1"/>
  </r>
  <r>
    <s v="O84"/>
    <s v="12:13"/>
    <s v="Normal"/>
    <n v="20"/>
    <s v="12:33"/>
    <s v="12:36"/>
    <d v="1899-12-30T12:38:00"/>
    <s v="13:17"/>
    <n v="5.64"/>
    <s v="R9"/>
    <n v="218"/>
    <n v="107"/>
    <s v="Delivered"/>
    <n v="18"/>
    <s v="Medium"/>
    <s v="No"/>
    <s v="None"/>
    <n v="64.000000000000085"/>
    <n v="2.9999999999999893"/>
    <n v="1.9999999999999929"/>
    <n v="39.000000000000021"/>
    <n v="12"/>
    <s v="Afternoon"/>
    <s v="Peak"/>
    <n v="0.14461538461538453"/>
    <n v="18.971631205673759"/>
    <n v="0.49082568807339449"/>
    <s v="Late"/>
    <s v="No Delay"/>
    <x v="1"/>
  </r>
  <r>
    <s v="O85"/>
    <s v="14:08"/>
    <s v="Normal"/>
    <n v="19"/>
    <s v="14:27"/>
    <s v="14:27"/>
    <d v="1899-12-30T14:29:00"/>
    <s v="14:52"/>
    <n v="3.45"/>
    <s v="R14"/>
    <n v="290"/>
    <n v="80"/>
    <s v="Delivered"/>
    <n v="19"/>
    <s v="Low"/>
    <s v="No"/>
    <s v="None"/>
    <n v="44"/>
    <n v="0"/>
    <n v="1.9999999999999929"/>
    <n v="23.000000000000078"/>
    <n v="14"/>
    <s v="Afternoon"/>
    <s v="Off-Peak"/>
    <n v="0.14999999999999949"/>
    <n v="23.188405797101449"/>
    <n v="0.27586206896551724"/>
    <s v="On-Time"/>
    <s v="No Delay"/>
    <x v="0"/>
  </r>
  <r>
    <s v="O86"/>
    <s v="19:11"/>
    <s v="Normal"/>
    <n v="18"/>
    <s v="19:29"/>
    <s v="19:31"/>
    <d v="1899-12-30T19:37:00"/>
    <s v="20:05"/>
    <n v="1.49"/>
    <s v="R3"/>
    <n v="334"/>
    <n v="79"/>
    <s v="Delivered"/>
    <n v="11"/>
    <s v="High"/>
    <s v="No"/>
    <s v="Traffic"/>
    <n v="53.999999999999808"/>
    <n v="1.9999999999999929"/>
    <n v="5.9999999999999787"/>
    <n v="27.999999999999901"/>
    <n v="19"/>
    <s v="Peak Night"/>
    <s v="Peak"/>
    <n v="5.3214285714285901E-2"/>
    <n v="53.020134228187921"/>
    <n v="0.23652694610778444"/>
    <s v="Late"/>
    <s v="No Delay"/>
    <x v="2"/>
  </r>
  <r>
    <s v="O87"/>
    <s v="14:17"/>
    <s v="Normal"/>
    <n v="11"/>
    <s v="14:28"/>
    <s v="14:31"/>
    <d v="1899-12-30T14:35:00"/>
    <s v="15:15"/>
    <n v="7.43"/>
    <s v="R3"/>
    <n v="163"/>
    <n v="119"/>
    <s v="Delivered"/>
    <n v="16"/>
    <s v="Low"/>
    <s v="No"/>
    <s v="Distance"/>
    <n v="57.999999999999957"/>
    <n v="3.0000000000001492"/>
    <n v="3.9999999999999858"/>
    <n v="39.999999999999858"/>
    <n v="14"/>
    <s v="Afternoon"/>
    <s v="Off-Peak"/>
    <n v="0.18575000000000066"/>
    <n v="16.01615074024226"/>
    <n v="0.73006134969325154"/>
    <s v="Late"/>
    <s v="No Delay"/>
    <x v="1"/>
  </r>
  <r>
    <s v="O88"/>
    <s v="18:45"/>
    <s v="Normal"/>
    <n v="15"/>
    <s v="19:00"/>
    <s v="19:00"/>
    <d v="1899-12-30T19:01:00"/>
    <s v="19:20"/>
    <n v="1.28"/>
    <s v="R13"/>
    <n v="182"/>
    <n v="64"/>
    <s v="Delivered"/>
    <n v="12"/>
    <s v="Medium"/>
    <s v="No"/>
    <s v="None"/>
    <n v="34.999999999999872"/>
    <n v="0"/>
    <n v="0.99999999999999645"/>
    <n v="18.999999999999932"/>
    <n v="18"/>
    <s v="Peak Night"/>
    <s v="Peak"/>
    <n v="6.7368421052631813E-2"/>
    <n v="50"/>
    <n v="0.35164835164835168"/>
    <s v="On-Time"/>
    <s v="No Delay"/>
    <x v="2"/>
  </r>
  <r>
    <s v="O89"/>
    <s v="17:36"/>
    <s v="Bulk"/>
    <n v="33"/>
    <s v="18:09"/>
    <s v="18:14"/>
    <d v="1899-12-30T18:15:00"/>
    <s v="19:01"/>
    <n v="6.6"/>
    <s v="R13"/>
    <n v="370"/>
    <n v="118"/>
    <s v="Delivered"/>
    <n v="12"/>
    <s v="Medium"/>
    <s v="No"/>
    <s v="Restaurant Delay"/>
    <n v="84.999999999999858"/>
    <n v="5.0000000000001421"/>
    <n v="0.99999999999999645"/>
    <n v="45.999999999999837"/>
    <n v="17"/>
    <s v="Evening"/>
    <s v="Peak"/>
    <n v="0.14347826086956572"/>
    <n v="17.878787878787879"/>
    <n v="0.31891891891891894"/>
    <s v="Late"/>
    <s v="No Delay"/>
    <x v="1"/>
  </r>
  <r>
    <s v="O90"/>
    <s v="10:59"/>
    <s v="Normal"/>
    <n v="15"/>
    <s v="11:14"/>
    <s v="11:17"/>
    <d v="1899-12-30T11:18:00"/>
    <s v="11:44"/>
    <n v="2.82"/>
    <s v="R10"/>
    <n v="369"/>
    <n v="79"/>
    <s v="Delivered"/>
    <n v="17"/>
    <s v="Medium"/>
    <s v="No"/>
    <s v="None"/>
    <n v="45"/>
    <n v="3.0000000000000693"/>
    <n v="0.99999999999999645"/>
    <n v="25.999999999999986"/>
    <n v="10"/>
    <s v="Late Morning"/>
    <s v="Off-Peak"/>
    <n v="0.10846153846153851"/>
    <n v="28.014184397163124"/>
    <n v="0.21409214092140921"/>
    <s v="On-Time"/>
    <s v="No Delay"/>
    <x v="0"/>
  </r>
  <r>
    <s v="O91"/>
    <s v="11:36"/>
    <s v="Normal"/>
    <n v="13"/>
    <s v="11:49"/>
    <s v="11:51"/>
    <d v="1899-12-30T11:53:00"/>
    <s v="12:19"/>
    <n v="2.44"/>
    <s v="R19"/>
    <n v="250"/>
    <n v="78"/>
    <s v="Delivered"/>
    <n v="16"/>
    <s v="Medium"/>
    <s v="No"/>
    <s v="None"/>
    <n v="42.999999999999929"/>
    <n v="1.9999999999999929"/>
    <n v="1.9999999999999929"/>
    <n v="25.999999999999986"/>
    <n v="11"/>
    <s v="Late Morning"/>
    <s v="Off-Peak"/>
    <n v="9.3846153846153899E-2"/>
    <n v="31.967213114754099"/>
    <n v="0.312"/>
    <s v="On-Time"/>
    <s v="No Delay"/>
    <x v="0"/>
  </r>
  <r>
    <s v="O92"/>
    <s v="18:12"/>
    <s v="Bulk"/>
    <n v="39"/>
    <s v="18:51"/>
    <s v="19:00"/>
    <d v="1899-12-30T19:05:00"/>
    <s v="19:46"/>
    <n v="6.04"/>
    <s v="R1"/>
    <n v="287"/>
    <n v="114"/>
    <s v="Delivered"/>
    <n v="16"/>
    <s v="Medium"/>
    <s v="No"/>
    <s v="Restaurant Delay"/>
    <n v="93.999999999999986"/>
    <n v="8.9999999999998082"/>
    <n v="4.9999999999999822"/>
    <n v="41.000000000000014"/>
    <n v="18"/>
    <s v="Peak Night"/>
    <s v="Peak"/>
    <n v="0.14731707317073164"/>
    <n v="18.874172185430464"/>
    <n v="0.39721254355400698"/>
    <s v="Late"/>
    <s v="No Delay"/>
    <x v="1"/>
  </r>
  <r>
    <s v="O93"/>
    <s v="14:58"/>
    <s v="Normal"/>
    <n v="13"/>
    <s v="15:11"/>
    <s v="15:11"/>
    <d v="1899-12-30T15:15:00"/>
    <s v="15:44"/>
    <n v="4.6500000000000004"/>
    <s v="R19"/>
    <n v="182"/>
    <n v="94"/>
    <s v="Delivered"/>
    <n v="17"/>
    <s v="Low"/>
    <s v="No"/>
    <s v="None"/>
    <n v="46"/>
    <n v="0"/>
    <n v="3.9999999999999858"/>
    <n v="29.000000000000057"/>
    <n v="14"/>
    <s v="Afternoon"/>
    <s v="Off-Peak"/>
    <n v="0.16034482758620661"/>
    <n v="20.21505376344086"/>
    <n v="0.51648351648351654"/>
    <s v="Late"/>
    <s v="No Delay"/>
    <x v="0"/>
  </r>
  <r>
    <s v="O94"/>
    <s v="11:06"/>
    <s v="Bulk"/>
    <n v="35"/>
    <s v="11:41"/>
    <s v="11:48"/>
    <d v="1899-12-30T11:50:00"/>
    <s v="12:18"/>
    <n v="3.23"/>
    <s v="R17"/>
    <n v="341"/>
    <n v="84"/>
    <s v="Delivered"/>
    <n v="15"/>
    <s v="Medium"/>
    <s v="No"/>
    <s v="Restaurant Delay"/>
    <n v="72.000000000000142"/>
    <n v="7.0000000000000551"/>
    <n v="1.9999999999999929"/>
    <n v="28.00000000000006"/>
    <n v="11"/>
    <s v="Late Morning"/>
    <s v="Off-Peak"/>
    <n v="0.1153571428571426"/>
    <n v="26.006191950464398"/>
    <n v="0.24633431085043989"/>
    <s v="Late"/>
    <s v="No Delay"/>
    <x v="0"/>
  </r>
  <r>
    <s v="O95"/>
    <s v="18:33"/>
    <s v="Bulk"/>
    <n v="28"/>
    <s v="19:01"/>
    <s v="19:08"/>
    <d v="1899-12-30T19:12:00"/>
    <s v="19:59"/>
    <n v="7.4"/>
    <s v="R3"/>
    <n v="296"/>
    <n v="126"/>
    <s v="Delivered"/>
    <n v="13"/>
    <s v="Medium"/>
    <s v="No"/>
    <s v="Restaurant Delay"/>
    <n v="86.000000000000014"/>
    <n v="6.9999999999999751"/>
    <n v="3.9999999999999858"/>
    <n v="47.000000000000156"/>
    <n v="18"/>
    <s v="Peak Night"/>
    <s v="Peak"/>
    <n v="0.15744680851063778"/>
    <n v="17.027027027027025"/>
    <n v="0.42567567567567566"/>
    <s v="Late"/>
    <s v="No Delay"/>
    <x v="1"/>
  </r>
  <r>
    <s v="O96"/>
    <s v="17:42"/>
    <s v="Normal"/>
    <n v="17"/>
    <s v="17:59"/>
    <s v="18:02"/>
    <d v="1899-12-30T18:03:00"/>
    <s v="18:53"/>
    <n v="7.49"/>
    <s v="R3"/>
    <n v="386"/>
    <n v="126"/>
    <s v="Delivered"/>
    <n v="15"/>
    <s v="Medium"/>
    <s v="No"/>
    <s v="Distance"/>
    <n v="71.000000000000071"/>
    <n v="3.0000000000001492"/>
    <n v="0.99999999999999645"/>
    <n v="49.999999999999822"/>
    <n v="17"/>
    <s v="Evening"/>
    <s v="Peak"/>
    <n v="0.14980000000000054"/>
    <n v="16.822429906542055"/>
    <n v="0.32642487046632124"/>
    <s v="Late"/>
    <s v="No Delay"/>
    <x v="1"/>
  </r>
  <r>
    <s v="O97"/>
    <s v="19:52"/>
    <s v="Normal"/>
    <n v="12"/>
    <s v="20:04"/>
    <s v="20:11"/>
    <d v="1899-12-30T20:22:00"/>
    <s v="20:58"/>
    <n v="4.45"/>
    <s v="R19"/>
    <n v="329"/>
    <n v="107"/>
    <s v="Delivered"/>
    <n v="8"/>
    <s v="High"/>
    <s v="No"/>
    <s v="Traffic"/>
    <n v="65.999999999999773"/>
    <n v="6.9999999999999751"/>
    <n v="10.999999999999961"/>
    <n v="35.999999999999872"/>
    <n v="19"/>
    <s v="Peak Night"/>
    <s v="Peak"/>
    <n v="0.12361111111111156"/>
    <n v="24.044943820224717"/>
    <n v="0.32522796352583588"/>
    <s v="Late"/>
    <s v="No Delay"/>
    <x v="0"/>
  </r>
  <r>
    <s v="O98"/>
    <s v="15:46"/>
    <s v="Normal"/>
    <n v="20"/>
    <s v="16:06"/>
    <s v="16:08"/>
    <d v="1899-12-30T16:09:00"/>
    <s v="16:33"/>
    <n v="3.15"/>
    <s v="R1"/>
    <n v="192"/>
    <n v="79"/>
    <s v="Delivered"/>
    <n v="17"/>
    <s v="Low"/>
    <s v="No"/>
    <s v="None"/>
    <n v="46.999999999999993"/>
    <n v="1.999999999999833"/>
    <n v="0.99999999999999645"/>
    <n v="24.000000000000075"/>
    <n v="15"/>
    <s v="Evening"/>
    <s v="Off-Peak"/>
    <n v="0.13124999999999959"/>
    <n v="25.079365079365079"/>
    <n v="0.41145833333333331"/>
    <s v="Late"/>
    <s v="No Delay"/>
    <x v="0"/>
  </r>
  <r>
    <s v="O99"/>
    <s v="12:31"/>
    <s v="Normal"/>
    <n v="13"/>
    <s v="12:44"/>
    <s v="12:45"/>
    <d v="1899-12-30T12:51:00"/>
    <s v="13:34"/>
    <n v="7.35"/>
    <s v="R20"/>
    <n v="390"/>
    <n v="124"/>
    <s v="Delivered"/>
    <n v="16"/>
    <s v="Medium"/>
    <s v="No"/>
    <s v="Distance"/>
    <n v="62.999999999999936"/>
    <n v="0.99999999999999645"/>
    <n v="5.9999999999999787"/>
    <n v="43.000000000000007"/>
    <n v="12"/>
    <s v="Afternoon"/>
    <s v="Peak"/>
    <n v="0.17093023255813949"/>
    <n v="16.870748299319729"/>
    <n v="0.31794871794871793"/>
    <s v="Late"/>
    <s v="No Delay"/>
    <x v="1"/>
  </r>
  <r>
    <s v="O100"/>
    <s v="10:51"/>
    <s v="Normal"/>
    <n v="18"/>
    <s v="11:09"/>
    <s v="11:10"/>
    <d v="1899-12-30T11:11:00"/>
    <s v="11:54"/>
    <n v="6"/>
    <s v="R19"/>
    <n v="311"/>
    <n v="112"/>
    <s v="Delivered"/>
    <n v="17"/>
    <s v="Medium"/>
    <s v="No"/>
    <s v="Distance"/>
    <n v="63.000000000000014"/>
    <n v="0.99999999999991651"/>
    <n v="0.99999999999999645"/>
    <n v="43.000000000000085"/>
    <n v="10"/>
    <s v="Late Morning"/>
    <s v="Off-Peak"/>
    <n v="0.13953488372092995"/>
    <n v="18.666666666666668"/>
    <n v="0.36012861736334406"/>
    <s v="Late"/>
    <s v="No Delay"/>
    <x v="1"/>
  </r>
  <r>
    <s v="O101"/>
    <s v="18:59"/>
    <s v="Normal"/>
    <n v="11"/>
    <s v="19:10"/>
    <s v="19:11"/>
    <d v="1899-12-30T19:13:00"/>
    <s v="19:51"/>
    <n v="5.5"/>
    <s v="R1"/>
    <n v="260"/>
    <n v="106"/>
    <s v="Delivered"/>
    <n v="18"/>
    <s v="Medium"/>
    <s v="No"/>
    <s v="None"/>
    <n v="51.999999999999972"/>
    <n v="0.99999999999999645"/>
    <n v="1.9999999999999929"/>
    <n v="38.000000000000028"/>
    <n v="18"/>
    <s v="Peak Night"/>
    <s v="Peak"/>
    <n v="0.14473684210526305"/>
    <n v="19.272727272727273"/>
    <n v="0.40769230769230769"/>
    <s v="Late"/>
    <s v="No Delay"/>
    <x v="1"/>
  </r>
  <r>
    <s v="O102"/>
    <s v="16:16"/>
    <s v="Normal"/>
    <n v="17"/>
    <s v="16:33"/>
    <s v="16:34"/>
    <d v="1899-12-30T16:36:00"/>
    <s v="16:55"/>
    <n v="2.54"/>
    <s v="R8"/>
    <n v="371"/>
    <n v="72"/>
    <s v="Delivered"/>
    <n v="20"/>
    <s v="Low"/>
    <s v="No"/>
    <s v="None"/>
    <n v="39.000000000000185"/>
    <n v="0.99999999999999645"/>
    <n v="1.9999999999999929"/>
    <n v="19.000000000000092"/>
    <n v="16"/>
    <s v="Evening"/>
    <s v="Off-Peak"/>
    <n v="0.13368421052631513"/>
    <n v="28.346456692913385"/>
    <n v="0.19407008086253369"/>
    <s v="On-Time"/>
    <s v="No Delay"/>
    <x v="0"/>
  </r>
  <r>
    <s v="O103"/>
    <s v="17:15"/>
    <s v="Normal"/>
    <n v="15"/>
    <s v="17:30"/>
    <s v="17:30"/>
    <d v="1899-12-30T17:35:00"/>
    <s v="18:15"/>
    <n v="6.59"/>
    <s v="R9"/>
    <n v="399"/>
    <n v="116"/>
    <s v="Delivered"/>
    <n v="16"/>
    <s v="Medium"/>
    <s v="No"/>
    <s v="Distance"/>
    <n v="59.999999999999943"/>
    <n v="0"/>
    <n v="4.9999999999999822"/>
    <n v="40.000000000000014"/>
    <n v="17"/>
    <s v="Evening"/>
    <s v="Peak"/>
    <n v="0.16474999999999992"/>
    <n v="17.602427921092566"/>
    <n v="0.2907268170426065"/>
    <s v="Late"/>
    <s v="No Delay"/>
    <x v="1"/>
  </r>
  <r>
    <s v="O104"/>
    <s v="16:57"/>
    <s v="Normal"/>
    <n v="18"/>
    <s v="17:15"/>
    <s v="17:15"/>
    <d v="1899-12-30T17:16:00"/>
    <s v="18:01"/>
    <n v="7.13"/>
    <s v="R17"/>
    <n v="375"/>
    <n v="120"/>
    <s v="Delivered"/>
    <n v="18"/>
    <s v="Low"/>
    <s v="No"/>
    <s v="Distance"/>
    <n v="64.000000000000085"/>
    <n v="0"/>
    <n v="0.99999999999999645"/>
    <n v="45"/>
    <n v="16"/>
    <s v="Evening"/>
    <s v="Off-Peak"/>
    <n v="0.15844444444444444"/>
    <n v="16.830294530154276"/>
    <n v="0.32"/>
    <s v="Late"/>
    <s v="No Delay"/>
    <x v="1"/>
  </r>
  <r>
    <s v="O105"/>
    <s v="19:52"/>
    <s v="Normal"/>
    <n v="10"/>
    <s v="20:02"/>
    <s v="20:04"/>
    <d v="1899-12-30T20:12:00"/>
    <s v="20:33"/>
    <n v="1.04"/>
    <s v="R1"/>
    <n v="314"/>
    <n v="72"/>
    <s v="Delivered"/>
    <n v="10"/>
    <s v="High"/>
    <s v="No"/>
    <s v="Traffic"/>
    <n v="41.000000000000014"/>
    <n v="1.9999999999999929"/>
    <n v="7.9999999999999716"/>
    <n v="21.000000000000085"/>
    <n v="19"/>
    <s v="Peak Night"/>
    <s v="Peak"/>
    <n v="4.9523809523809324E-2"/>
    <n v="69.230769230769226"/>
    <n v="0.22929936305732485"/>
    <s v="On-Time"/>
    <s v="No Delay"/>
    <x v="2"/>
  </r>
  <r>
    <s v="O106"/>
    <s v="19:13"/>
    <s v="Bulk"/>
    <n v="34"/>
    <s v="19:47"/>
    <s v="19:56"/>
    <d v="1899-12-30T20:03:00"/>
    <s v="20:57"/>
    <n v="7.8"/>
    <s v="R10"/>
    <n v="291"/>
    <n v="138"/>
    <s v="Delivered"/>
    <n v="12"/>
    <s v="High"/>
    <s v="No"/>
    <s v="Traffic"/>
    <n v="104.00000000000011"/>
    <n v="8.999999999999968"/>
    <n v="6.9999999999999751"/>
    <n v="53.999999999999972"/>
    <n v="19"/>
    <s v="Peak Night"/>
    <s v="Peak"/>
    <n v="0.14444444444444451"/>
    <n v="17.692307692307693"/>
    <n v="0.47422680412371132"/>
    <s v="Late"/>
    <s v="No Delay"/>
    <x v="1"/>
  </r>
  <r>
    <s v="O107"/>
    <s v="18:58"/>
    <s v="Normal"/>
    <n v="18"/>
    <s v="19:16"/>
    <s v="19:18"/>
    <d v="1899-12-30T19:20:00"/>
    <s v="20:01"/>
    <n v="5.41"/>
    <s v="R17"/>
    <n v="183"/>
    <n v="108"/>
    <s v="Delivered"/>
    <n v="15"/>
    <s v="Medium"/>
    <s v="No"/>
    <s v="None"/>
    <n v="62.999999999999936"/>
    <n v="2.0000000000001528"/>
    <n v="1.9999999999999929"/>
    <n v="40.999999999999858"/>
    <n v="18"/>
    <s v="Peak Night"/>
    <s v="Peak"/>
    <n v="0.13195121951219557"/>
    <n v="19.963031423290204"/>
    <n v="0.5901639344262295"/>
    <s v="Late"/>
    <s v="No Delay"/>
    <x v="1"/>
  </r>
  <r>
    <s v="O108"/>
    <s v="17:34"/>
    <s v="Normal"/>
    <n v="18"/>
    <s v="17:52"/>
    <s v="17:52"/>
    <d v="1899-12-30T17:54:00"/>
    <s v="18:18"/>
    <n v="2.77"/>
    <s v="R19"/>
    <n v="338"/>
    <n v="78"/>
    <s v="Delivered"/>
    <n v="18"/>
    <s v="Medium"/>
    <s v="No"/>
    <s v="None"/>
    <n v="44.000000000000163"/>
    <n v="0"/>
    <n v="1.9999999999999929"/>
    <n v="24.000000000000075"/>
    <n v="17"/>
    <s v="Evening"/>
    <s v="Peak"/>
    <n v="0.11541666666666631"/>
    <n v="28.158844765342959"/>
    <n v="0.23076923076923078"/>
    <s v="On-Time"/>
    <s v="No Delay"/>
    <x v="0"/>
  </r>
  <r>
    <s v="O109"/>
    <s v="10:37"/>
    <s v="Normal"/>
    <n v="16"/>
    <s v="10:53"/>
    <s v="10:53"/>
    <d v="1899-12-30T10:56:00"/>
    <s v="11:46"/>
    <n v="7.27"/>
    <s v="R3"/>
    <n v="386"/>
    <n v="127"/>
    <s v="Delivered"/>
    <n v="14"/>
    <s v="Medium"/>
    <s v="No"/>
    <s v="Distance"/>
    <n v="69"/>
    <n v="0"/>
    <n v="2.9999999999999893"/>
    <n v="50.000000000000064"/>
    <n v="10"/>
    <s v="Late Morning"/>
    <s v="Off-Peak"/>
    <n v="0.14539999999999981"/>
    <n v="17.469050894085282"/>
    <n v="0.32901554404145078"/>
    <s v="Late"/>
    <s v="No Delay"/>
    <x v="1"/>
  </r>
  <r>
    <s v="O110"/>
    <s v="10:04"/>
    <s v="Normal"/>
    <n v="17"/>
    <s v="10:21"/>
    <s v="10:24"/>
    <d v="1899-12-30T10:29:00"/>
    <s v="11:05"/>
    <n v="5.45"/>
    <s v="R15"/>
    <n v="249"/>
    <n v="106"/>
    <s v="Delivered"/>
    <n v="14"/>
    <s v="Medium"/>
    <s v="No"/>
    <s v="None"/>
    <n v="61.000000000000021"/>
    <n v="3.0000000000000693"/>
    <n v="4.9999999999999822"/>
    <n v="36.000000000000028"/>
    <n v="10"/>
    <s v="Late Morning"/>
    <s v="Off-Peak"/>
    <n v="0.15138888888888877"/>
    <n v="19.449541284403669"/>
    <n v="0.42570281124497994"/>
    <s v="Late"/>
    <s v="No Delay"/>
    <x v="1"/>
  </r>
  <r>
    <s v="O111"/>
    <s v="11:59"/>
    <s v="Normal"/>
    <n v="12"/>
    <s v="12:11"/>
    <s v="12:12"/>
    <d v="1899-12-30T12:13:00"/>
    <s v="12:30"/>
    <n v="1.1299999999999999"/>
    <s v="R5"/>
    <n v="244"/>
    <n v="62"/>
    <s v="Delivered"/>
    <n v="15"/>
    <s v="Medium"/>
    <s v="No"/>
    <s v="None"/>
    <n v="31.000000000000128"/>
    <n v="0.99999999999999645"/>
    <n v="0.99999999999999645"/>
    <n v="17.000000000000099"/>
    <n v="11"/>
    <s v="Late Morning"/>
    <s v="Off-Peak"/>
    <n v="6.6470588235293726E-2"/>
    <n v="54.867256637168147"/>
    <n v="0.25409836065573771"/>
    <s v="On-Time"/>
    <s v="No Delay"/>
    <x v="2"/>
  </r>
  <r>
    <s v="O112"/>
    <s v="14:54"/>
    <s v="Normal"/>
    <n v="16"/>
    <s v="15:10"/>
    <s v="15:13"/>
    <d v="1899-12-30T15:14:00"/>
    <s v="15:39"/>
    <n v="3.01"/>
    <s v="R11"/>
    <n v="260"/>
    <n v="79"/>
    <s v="Delivered"/>
    <n v="17"/>
    <s v="Low"/>
    <s v="No"/>
    <s v="None"/>
    <n v="45"/>
    <n v="2.9999999999999893"/>
    <n v="0.99999999999999645"/>
    <n v="25.000000000000071"/>
    <n v="14"/>
    <s v="Afternoon"/>
    <s v="Off-Peak"/>
    <n v="0.12039999999999965"/>
    <n v="26.245847176079735"/>
    <n v="0.30384615384615382"/>
    <s v="On-Time"/>
    <s v="No Delay"/>
    <x v="0"/>
  </r>
  <r>
    <s v="O113"/>
    <s v="18:17"/>
    <s v="Normal"/>
    <n v="17"/>
    <s v="18:34"/>
    <s v="18:34"/>
    <d v="1899-12-30T18:40:00"/>
    <s v="19:10"/>
    <n v="3.98"/>
    <s v="R5"/>
    <n v="397"/>
    <n v="94"/>
    <s v="Delivered"/>
    <n v="15"/>
    <s v="Medium"/>
    <s v="No"/>
    <s v="None"/>
    <n v="52.999999999999972"/>
    <n v="0"/>
    <n v="5.9999999999999787"/>
    <n v="30.000000000000053"/>
    <n v="18"/>
    <s v="Peak Night"/>
    <s v="Peak"/>
    <n v="0.13266666666666643"/>
    <n v="23.618090452261306"/>
    <n v="0.23677581863979849"/>
    <s v="Late"/>
    <s v="No Delay"/>
    <x v="0"/>
  </r>
  <r>
    <s v="O114"/>
    <s v="13:54"/>
    <s v="Normal"/>
    <n v="11"/>
    <s v="14:05"/>
    <s v="14:05"/>
    <d v="1899-12-30T14:09:00"/>
    <s v="14:39"/>
    <n v="4.3600000000000003"/>
    <s v="R6"/>
    <n v="335"/>
    <n v="94"/>
    <s v="Delivered"/>
    <n v="14"/>
    <s v="Medium"/>
    <s v="No"/>
    <s v="None"/>
    <n v="45"/>
    <n v="0"/>
    <n v="3.9999999999999858"/>
    <n v="30.000000000000053"/>
    <n v="13"/>
    <s v="Afternoon"/>
    <s v="Peak"/>
    <n v="0.14533333333333309"/>
    <n v="21.559633027522935"/>
    <n v="0.28059701492537314"/>
    <s v="On-Time"/>
    <s v="No Delay"/>
    <x v="0"/>
  </r>
  <r>
    <s v="O115"/>
    <s v="10:03"/>
    <s v="Bulk"/>
    <n v="26"/>
    <s v="10:29"/>
    <s v="10:36"/>
    <d v="1899-12-30T10:38:00"/>
    <s v="11:12"/>
    <n v="4.74"/>
    <s v="R4"/>
    <n v="398"/>
    <n v="98"/>
    <s v="Failed"/>
    <n v="16"/>
    <s v="Medium"/>
    <s v="Yes"/>
    <s v="Restaurant Delay"/>
    <n v="68.999999999999915"/>
    <n v="7.0000000000000551"/>
    <n v="1.9999999999999929"/>
    <n v="33.999999999999957"/>
    <n v="10"/>
    <s v="Late Morning"/>
    <s v="Off-Peak"/>
    <n v="0.13941176470588254"/>
    <n v="20.675105485232066"/>
    <n v="0.24623115577889448"/>
    <s v="Late"/>
    <s v="Restaurant Delay"/>
    <x v="0"/>
  </r>
  <r>
    <s v="O116"/>
    <s v="19:26"/>
    <s v="Normal"/>
    <n v="20"/>
    <s v="19:46"/>
    <s v="19:52"/>
    <d v="1899-12-30T20:03:00"/>
    <s v="20:41"/>
    <n v="5.79"/>
    <s v="R2"/>
    <n v="353"/>
    <n v="116"/>
    <s v="Delivered"/>
    <n v="8"/>
    <s v="High"/>
    <s v="No"/>
    <s v="Traffic"/>
    <n v="75.000000000000057"/>
    <n v="6.0000000000001386"/>
    <n v="10.999999999999961"/>
    <n v="38.000000000000028"/>
    <n v="19"/>
    <s v="Peak Night"/>
    <s v="Peak"/>
    <n v="0.15236842105263146"/>
    <n v="20.034542314335059"/>
    <n v="0.32861189801699719"/>
    <s v="Late"/>
    <s v="No Delay"/>
    <x v="1"/>
  </r>
  <r>
    <s v="O117"/>
    <s v="13:39"/>
    <s v="Normal"/>
    <n v="11"/>
    <s v="13:50"/>
    <s v="13:53"/>
    <d v="1899-12-30T13:57:00"/>
    <s v="14:17"/>
    <n v="1.87"/>
    <s v="R16"/>
    <n v="280"/>
    <n v="71"/>
    <s v="Delivered"/>
    <n v="18"/>
    <s v="Medium"/>
    <s v="No"/>
    <s v="None"/>
    <n v="38.000000000000028"/>
    <n v="2.9999999999998295"/>
    <n v="3.9999999999999858"/>
    <n v="20.000000000000089"/>
    <n v="13"/>
    <s v="Afternoon"/>
    <s v="Peak"/>
    <n v="9.3499999999999583E-2"/>
    <n v="37.967914438502675"/>
    <n v="0.25357142857142856"/>
    <s v="On-Time"/>
    <s v="No Delay"/>
    <x v="2"/>
  </r>
  <r>
    <s v="O118"/>
    <s v="16:42"/>
    <s v="Bulk"/>
    <n v="40"/>
    <s v="17:22"/>
    <s v="17:32"/>
    <d v="1899-12-30T17:34:00"/>
    <s v="17:58"/>
    <n v="3.7"/>
    <s v="R9"/>
    <n v="283"/>
    <n v="83"/>
    <s v="Delivered"/>
    <n v="15"/>
    <s v="Low"/>
    <s v="No"/>
    <s v="Restaurant Delay"/>
    <n v="75.999999999999886"/>
    <n v="10.000000000000124"/>
    <n v="1.9999999999999929"/>
    <n v="23.999999999999755"/>
    <n v="16"/>
    <s v="Evening"/>
    <s v="Off-Peak"/>
    <n v="0.15416666666666826"/>
    <n v="22.432432432432432"/>
    <n v="0.29328621908127206"/>
    <s v="Late"/>
    <s v="No Delay"/>
    <x v="0"/>
  </r>
  <r>
    <s v="O119"/>
    <s v="17:06"/>
    <s v="Normal"/>
    <n v="18"/>
    <s v="17:24"/>
    <s v="17:25"/>
    <d v="1899-12-30T17:31:00"/>
    <s v="18:07"/>
    <n v="5.44"/>
    <s v="R11"/>
    <n v="309"/>
    <n v="107"/>
    <s v="Delivered"/>
    <n v="14"/>
    <s v="Medium"/>
    <s v="No"/>
    <s v="None"/>
    <n v="60.999999999999943"/>
    <n v="1.0000000000001563"/>
    <n v="5.9999999999999787"/>
    <n v="35.999999999999872"/>
    <n v="17"/>
    <s v="Evening"/>
    <s v="Peak"/>
    <n v="0.15111111111111167"/>
    <n v="19.669117647058822"/>
    <n v="0.34627831715210355"/>
    <s v="Late"/>
    <s v="No Delay"/>
    <x v="1"/>
  </r>
  <r>
    <s v="O120"/>
    <s v="18:17"/>
    <s v="Bulk"/>
    <n v="36"/>
    <s v="18:53"/>
    <s v="19:03"/>
    <d v="1899-12-30T19:07:00"/>
    <s v="19:24"/>
    <n v="1.4"/>
    <s v="R4"/>
    <n v="344"/>
    <n v="66"/>
    <s v="Delivered"/>
    <n v="17"/>
    <s v="Medium"/>
    <s v="No"/>
    <s v="Restaurant Delay"/>
    <n v="66.999999999999758"/>
    <n v="10.000000000000124"/>
    <n v="3.9999999999999858"/>
    <n v="16.99999999999978"/>
    <n v="18"/>
    <s v="Peak Night"/>
    <s v="Peak"/>
    <n v="8.2352941176471656E-2"/>
    <n v="47.142857142857146"/>
    <n v="0.19186046511627908"/>
    <s v="Late"/>
    <s v="No Delay"/>
    <x v="2"/>
  </r>
  <r>
    <s v="O121"/>
    <s v="13:54"/>
    <s v="Normal"/>
    <n v="14"/>
    <s v="14:08"/>
    <s v="14:09"/>
    <d v="1899-12-30T14:14:00"/>
    <s v="14:41"/>
    <n v="3.88"/>
    <s v="R18"/>
    <n v="254"/>
    <n v="89"/>
    <s v="Delivered"/>
    <n v="17"/>
    <s v="Medium"/>
    <s v="No"/>
    <s v="None"/>
    <n v="46.999999999999993"/>
    <n v="0.99999999999999645"/>
    <n v="4.9999999999999822"/>
    <n v="27.000000000000064"/>
    <n v="13"/>
    <s v="Afternoon"/>
    <s v="Peak"/>
    <n v="0.14370370370370336"/>
    <n v="22.938144329896907"/>
    <n v="0.35039370078740156"/>
    <s v="Late"/>
    <s v="No Delay"/>
    <x v="0"/>
  </r>
  <r>
    <s v="O122"/>
    <s v="10:59"/>
    <s v="Normal"/>
    <n v="19"/>
    <s v="11:18"/>
    <s v="11:20"/>
    <d v="1899-12-30T11:24:00"/>
    <s v="12:11"/>
    <n v="7.62"/>
    <s v="R10"/>
    <n v="328"/>
    <n v="127"/>
    <s v="Delivered"/>
    <n v="16"/>
    <s v="Medium"/>
    <s v="No"/>
    <s v="Distance"/>
    <n v="71.999999999999986"/>
    <n v="1.9999999999999929"/>
    <n v="3.9999999999999858"/>
    <n v="46.999999999999915"/>
    <n v="10"/>
    <s v="Late Morning"/>
    <s v="Off-Peak"/>
    <n v="0.16212765957446837"/>
    <n v="16.666666666666668"/>
    <n v="0.38719512195121952"/>
    <s v="Late"/>
    <s v="No Delay"/>
    <x v="1"/>
  </r>
  <r>
    <s v="O123"/>
    <s v="14:33"/>
    <s v="Normal"/>
    <n v="17"/>
    <s v="14:50"/>
    <s v="14:52"/>
    <d v="1899-12-30T14:58:00"/>
    <s v="15:24"/>
    <n v="4.29"/>
    <s v="R6"/>
    <n v="344"/>
    <n v="91"/>
    <s v="Delivered"/>
    <n v="17"/>
    <s v="Low"/>
    <s v="No"/>
    <s v="None"/>
    <n v="50.999999999999979"/>
    <n v="1.9999999999999929"/>
    <n v="5.9999999999999787"/>
    <n v="26.000000000000068"/>
    <n v="14"/>
    <s v="Afternoon"/>
    <s v="Off-Peak"/>
    <n v="0.16499999999999956"/>
    <n v="21.212121212121211"/>
    <n v="0.26453488372093026"/>
    <s v="Late"/>
    <s v="No Delay"/>
    <x v="0"/>
  </r>
  <r>
    <s v="O124"/>
    <s v="19:54"/>
    <s v="Normal"/>
    <n v="18"/>
    <s v="20:12"/>
    <s v="20:21"/>
    <d v="1899-12-30T20:29:00"/>
    <s v="21:00"/>
    <n v="4.53"/>
    <s v="R7"/>
    <n v="315"/>
    <n v="100"/>
    <s v="Delivered"/>
    <n v="9"/>
    <s v="High"/>
    <s v="No"/>
    <s v="Traffic"/>
    <n v="66.000000000000085"/>
    <n v="9.0000000000001279"/>
    <n v="7.9999999999999716"/>
    <n v="30.99999999999989"/>
    <n v="19"/>
    <s v="Peak Night"/>
    <s v="Peak"/>
    <n v="0.14612903225806503"/>
    <n v="22.075055187637968"/>
    <n v="0.31746031746031744"/>
    <s v="Late"/>
    <s v="No Delay"/>
    <x v="0"/>
  </r>
  <r>
    <s v="O125"/>
    <s v="15:22"/>
    <s v="Normal"/>
    <n v="17"/>
    <s v="15:39"/>
    <s v="15:40"/>
    <d v="1899-12-30T15:42:00"/>
    <s v="15:56"/>
    <n v="1.9"/>
    <s v="R3"/>
    <n v="207"/>
    <n v="64"/>
    <s v="Delivered"/>
    <n v="17"/>
    <s v="Low"/>
    <s v="No"/>
    <s v="None"/>
    <n v="33.999999999999879"/>
    <n v="0.99999999999999645"/>
    <n v="1.9999999999999929"/>
    <n v="13.99999999999995"/>
    <n v="15"/>
    <s v="Evening"/>
    <s v="Off-Peak"/>
    <n v="0.1357142857142862"/>
    <n v="33.684210526315788"/>
    <n v="0.30917874396135264"/>
    <s v="On-Time"/>
    <s v="No Delay"/>
    <x v="2"/>
  </r>
  <r>
    <s v="O126"/>
    <s v="19:11"/>
    <s v="Normal"/>
    <n v="10"/>
    <s v="19:21"/>
    <s v="19:22"/>
    <d v="1899-12-30T19:31:00"/>
    <s v="20:09"/>
    <n v="5.79"/>
    <s v="R19"/>
    <n v="278"/>
    <n v="114"/>
    <s v="Delivered"/>
    <n v="12"/>
    <s v="High"/>
    <s v="No"/>
    <s v="Traffic"/>
    <n v="57.999999999999794"/>
    <n v="0.99999999999999645"/>
    <n v="8.999999999999968"/>
    <n v="37.999999999999865"/>
    <n v="19"/>
    <s v="Peak Night"/>
    <s v="Peak"/>
    <n v="0.15236842105263212"/>
    <n v="19.689119170984455"/>
    <n v="0.41007194244604317"/>
    <s v="Late"/>
    <s v="No Delay"/>
    <x v="1"/>
  </r>
  <r>
    <s v="O127"/>
    <s v="15:15"/>
    <s v="Normal"/>
    <n v="10"/>
    <s v="15:25"/>
    <s v="15:26"/>
    <d v="1899-12-30T15:29:00"/>
    <s v="16:08"/>
    <n v="6.76"/>
    <s v="R9"/>
    <n v="207"/>
    <n v="114"/>
    <s v="Delivered"/>
    <n v="15"/>
    <s v="Low"/>
    <s v="No"/>
    <s v="Distance"/>
    <n v="52.999999999999972"/>
    <n v="1.0000000000001563"/>
    <n v="2.9999999999999893"/>
    <n v="38.999999999999858"/>
    <n v="15"/>
    <s v="Evening"/>
    <s v="Off-Peak"/>
    <n v="0.17333333333333395"/>
    <n v="16.863905325443788"/>
    <n v="0.55072463768115942"/>
    <s v="Late"/>
    <s v="No Delay"/>
    <x v="1"/>
  </r>
  <r>
    <s v="O128"/>
    <s v="15:49"/>
    <s v="Normal"/>
    <n v="18"/>
    <s v="16:07"/>
    <s v="16:09"/>
    <d v="1899-12-30T16:10:00"/>
    <s v="16:25"/>
    <n v="1.85"/>
    <s v="R5"/>
    <n v="214"/>
    <n v="63"/>
    <s v="Delivered"/>
    <n v="18"/>
    <s v="Low"/>
    <s v="No"/>
    <s v="None"/>
    <n v="36.000000000000028"/>
    <n v="1.999999999999833"/>
    <n v="0.99999999999999645"/>
    <n v="15.000000000000107"/>
    <n v="15"/>
    <s v="Evening"/>
    <s v="Off-Peak"/>
    <n v="0.12333333333333246"/>
    <n v="34.054054054054049"/>
    <n v="0.29439252336448596"/>
    <s v="On-Time"/>
    <s v="No Delay"/>
    <x v="2"/>
  </r>
  <r>
    <s v="O129"/>
    <s v="19:47"/>
    <s v="Bulk"/>
    <n v="27"/>
    <s v="20:14"/>
    <s v="20:20"/>
    <d v="1899-12-30T20:29:00"/>
    <s v="20:53"/>
    <n v="3.1"/>
    <s v="R12"/>
    <n v="162"/>
    <n v="87"/>
    <s v="Delivered"/>
    <n v="8"/>
    <s v="High"/>
    <s v="No"/>
    <s v="Traffic"/>
    <n v="65.999999999999929"/>
    <n v="5.9999999999999787"/>
    <n v="8.999999999999968"/>
    <n v="24.000000000000075"/>
    <n v="19"/>
    <s v="Peak Night"/>
    <s v="Peak"/>
    <n v="0.12916666666666626"/>
    <n v="28.064516129032256"/>
    <n v="0.53703703703703709"/>
    <s v="Late"/>
    <s v="No Delay"/>
    <x v="0"/>
  </r>
  <r>
    <s v="O130"/>
    <s v="10:31"/>
    <s v="Bulk"/>
    <n v="37"/>
    <s v="11:08"/>
    <s v="11:14"/>
    <d v="1899-12-30T11:18:00"/>
    <s v="11:58"/>
    <n v="5.47"/>
    <s v="R9"/>
    <n v="234"/>
    <n v="109"/>
    <s v="Delivered"/>
    <n v="14"/>
    <s v="Medium"/>
    <s v="No"/>
    <s v="Restaurant Delay"/>
    <n v="86.999999999999929"/>
    <n v="5.9999999999999787"/>
    <n v="3.9999999999999858"/>
    <n v="40.000000000000099"/>
    <n v="10"/>
    <s v="Late Morning"/>
    <s v="Off-Peak"/>
    <n v="0.13674999999999965"/>
    <n v="19.926873857404022"/>
    <n v="0.46581196581196582"/>
    <s v="Late"/>
    <s v="No Delay"/>
    <x v="1"/>
  </r>
  <r>
    <s v="O131"/>
    <s v="10:08"/>
    <s v="Normal"/>
    <n v="15"/>
    <s v="10:23"/>
    <s v="10:24"/>
    <d v="1899-12-30T10:27:00"/>
    <s v="11:15"/>
    <n v="7.46"/>
    <s v="R9"/>
    <n v="372"/>
    <n v="126"/>
    <s v="Delivered"/>
    <n v="12"/>
    <s v="Medium"/>
    <s v="No"/>
    <s v="Distance"/>
    <n v="67"/>
    <n v="1.0000000000000764"/>
    <n v="2.9999999999999893"/>
    <n v="47.999999999999986"/>
    <n v="10"/>
    <s v="Late Morning"/>
    <s v="Off-Peak"/>
    <n v="0.1554166666666667"/>
    <n v="16.890080428954423"/>
    <n v="0.33870967741935482"/>
    <s v="Late"/>
    <s v="No Delay"/>
    <x v="1"/>
  </r>
  <r>
    <s v="O132"/>
    <s v="16:54"/>
    <s v="Bulk"/>
    <n v="40"/>
    <s v="17:34"/>
    <s v="17:42"/>
    <d v="1899-12-30T17:47:00"/>
    <s v="18:15"/>
    <n v="4.75"/>
    <s v="R10"/>
    <n v="206"/>
    <n v="95"/>
    <s v="Delivered"/>
    <n v="19"/>
    <s v="Low"/>
    <s v="No"/>
    <s v="Restaurant Delay"/>
    <n v="81.000000000000028"/>
    <n v="7.9999999999999716"/>
    <n v="4.9999999999999822"/>
    <n v="28.00000000000006"/>
    <n v="16"/>
    <s v="Evening"/>
    <s v="Off-Peak"/>
    <n v="0.16964285714285679"/>
    <n v="20"/>
    <n v="0.46116504854368934"/>
    <s v="Late"/>
    <s v="No Delay"/>
    <x v="0"/>
  </r>
  <r>
    <s v="O133"/>
    <s v="19:22"/>
    <s v="Bulk"/>
    <n v="28"/>
    <s v="19:50"/>
    <s v="19:58"/>
    <d v="1899-12-30T20:08:00"/>
    <s v="20:30"/>
    <n v="2.5099999999999998"/>
    <s v="R9"/>
    <n v="155"/>
    <n v="83"/>
    <s v="Delivered"/>
    <n v="9"/>
    <s v="High"/>
    <s v="No"/>
    <s v="Traffic"/>
    <n v="67.999999999999915"/>
    <n v="7.9999999999999716"/>
    <n v="9.9999999999999645"/>
    <n v="22.000000000000082"/>
    <n v="19"/>
    <s v="Peak Night"/>
    <s v="Peak"/>
    <n v="0.11409090909090866"/>
    <n v="33.067729083665341"/>
    <n v="0.53548387096774197"/>
    <s v="Late"/>
    <s v="No Delay"/>
    <x v="0"/>
  </r>
  <r>
    <s v="O134"/>
    <s v="19:11"/>
    <s v="Normal"/>
    <n v="18"/>
    <s v="19:29"/>
    <s v="19:29"/>
    <d v="1899-12-30T19:40:00"/>
    <s v="20:02"/>
    <n v="1.88"/>
    <s v="R18"/>
    <n v="167"/>
    <n v="80"/>
    <s v="Delivered"/>
    <n v="10"/>
    <s v="High"/>
    <s v="No"/>
    <s v="Traffic"/>
    <n v="50.999999999999979"/>
    <n v="0"/>
    <n v="10.999999999999961"/>
    <n v="22.000000000000082"/>
    <n v="19"/>
    <s v="Peak Night"/>
    <s v="Peak"/>
    <n v="8.5454545454545131E-2"/>
    <n v="42.553191489361701"/>
    <n v="0.47904191616766467"/>
    <s v="Late"/>
    <s v="No Delay"/>
    <x v="2"/>
  </r>
  <r>
    <s v="O135"/>
    <s v="16:11"/>
    <s v="Normal"/>
    <n v="18"/>
    <s v="16:29"/>
    <s v="16:31"/>
    <d v="1899-12-30T16:34:00"/>
    <s v="16:48"/>
    <n v="1.21"/>
    <s v="R5"/>
    <n v="183"/>
    <n v="61"/>
    <s v="Delivered"/>
    <n v="20"/>
    <s v="Low"/>
    <s v="No"/>
    <s v="None"/>
    <n v="37.000000000000028"/>
    <n v="1.9999999999999929"/>
    <n v="2.9999999999999893"/>
    <n v="14.00000000000011"/>
    <n v="16"/>
    <s v="Evening"/>
    <s v="Off-Peak"/>
    <n v="8.6428571428570744E-2"/>
    <n v="50.413223140495866"/>
    <n v="0.33333333333333331"/>
    <s v="On-Time"/>
    <s v="No Delay"/>
    <x v="2"/>
  </r>
  <r>
    <s v="O136"/>
    <s v="11:16"/>
    <s v="Normal"/>
    <n v="12"/>
    <s v="11:28"/>
    <s v="11:30"/>
    <d v="1899-12-30T11:36:00"/>
    <s v="12:04"/>
    <n v="4.3899999999999997"/>
    <s v="R6"/>
    <n v="224"/>
    <n v="94"/>
    <s v="Delivered"/>
    <n v="17"/>
    <s v="Medium"/>
    <s v="No"/>
    <s v="None"/>
    <n v="47.999999999999908"/>
    <n v="1.9999999999999929"/>
    <n v="5.9999999999999787"/>
    <n v="27.999999999999979"/>
    <n v="11"/>
    <s v="Late Morning"/>
    <s v="Off-Peak"/>
    <n v="0.15678571428571439"/>
    <n v="21.412300683371299"/>
    <n v="0.41964285714285715"/>
    <s v="Late"/>
    <s v="No Delay"/>
    <x v="0"/>
  </r>
  <r>
    <s v="O137"/>
    <s v="12:39"/>
    <s v="Normal"/>
    <n v="16"/>
    <s v="12:55"/>
    <s v="12:56"/>
    <d v="1899-12-30T12:57:00"/>
    <s v="13:30"/>
    <n v="3.84"/>
    <s v="R20"/>
    <n v="320"/>
    <n v="91"/>
    <s v="Delivered"/>
    <n v="18"/>
    <s v="Medium"/>
    <s v="No"/>
    <s v="None"/>
    <n v="50.999999999999979"/>
    <n v="0.99999999999999645"/>
    <n v="0.99999999999999645"/>
    <n v="33.000000000000043"/>
    <n v="12"/>
    <s v="Afternoon"/>
    <s v="Peak"/>
    <n v="0.11636363636363621"/>
    <n v="23.697916666666668"/>
    <n v="0.28437499999999999"/>
    <s v="Late"/>
    <s v="No Delay"/>
    <x v="0"/>
  </r>
  <r>
    <s v="O138"/>
    <s v="10:08"/>
    <s v="Normal"/>
    <n v="10"/>
    <s v="10:18"/>
    <s v="10:18"/>
    <d v="1899-12-30T10:22:00"/>
    <s v="10:44"/>
    <n v="1.93"/>
    <s v="R14"/>
    <n v="349"/>
    <n v="74"/>
    <s v="Delivered"/>
    <n v="18"/>
    <s v="Medium"/>
    <s v="No"/>
    <s v="None"/>
    <n v="35.99999999999995"/>
    <n v="0"/>
    <n v="3.9999999999999858"/>
    <n v="21.999999999999922"/>
    <n v="10"/>
    <s v="Late Morning"/>
    <s v="Off-Peak"/>
    <n v="8.7727272727273042E-2"/>
    <n v="38.3419689119171"/>
    <n v="0.21203438395415472"/>
    <s v="On-Time"/>
    <s v="No Delay"/>
    <x v="2"/>
  </r>
  <r>
    <s v="O139"/>
    <s v="17:12"/>
    <s v="Normal"/>
    <n v="15"/>
    <s v="17:27"/>
    <s v="17:27"/>
    <d v="1899-12-30T17:28:00"/>
    <s v="18:08"/>
    <n v="5.24"/>
    <s v="R2"/>
    <n v="349"/>
    <n v="105"/>
    <s v="Delivered"/>
    <n v="15"/>
    <s v="Medium"/>
    <s v="No"/>
    <s v="None"/>
    <n v="55.999999999999957"/>
    <n v="0"/>
    <n v="0.99999999999999645"/>
    <n v="40.000000000000014"/>
    <n v="17"/>
    <s v="Evening"/>
    <s v="Peak"/>
    <n v="0.13099999999999995"/>
    <n v="20.038167938931299"/>
    <n v="0.3008595988538682"/>
    <s v="Late"/>
    <s v="No Delay"/>
    <x v="1"/>
  </r>
  <r>
    <s v="O140"/>
    <s v="10:00"/>
    <s v="Normal"/>
    <n v="11"/>
    <s v="10:11"/>
    <s v="10:13"/>
    <d v="1899-12-30T10:15:00"/>
    <s v="10:49"/>
    <n v="4.71"/>
    <s v="R19"/>
    <n v="350"/>
    <n v="98"/>
    <s v="Delivered"/>
    <n v="16"/>
    <s v="Medium"/>
    <s v="No"/>
    <s v="None"/>
    <n v="48.999999999999986"/>
    <n v="1.9999999999999929"/>
    <n v="1.9999999999999929"/>
    <n v="34.000000000000043"/>
    <n v="10"/>
    <s v="Late Morning"/>
    <s v="Off-Peak"/>
    <n v="0.13852941176470571"/>
    <n v="20.806794055201699"/>
    <n v="0.28000000000000003"/>
    <s v="Late"/>
    <s v="No Delay"/>
    <x v="0"/>
  </r>
  <r>
    <s v="O141"/>
    <s v="16:04"/>
    <s v="Normal"/>
    <n v="13"/>
    <s v="16:17"/>
    <s v="16:19"/>
    <d v="1899-12-30T16:23:00"/>
    <s v="16:35"/>
    <n v="1.74"/>
    <s v="R2"/>
    <n v="179"/>
    <n v="63"/>
    <s v="Delivered"/>
    <n v="19"/>
    <s v="Low"/>
    <s v="No"/>
    <s v="None"/>
    <n v="31.00000000000005"/>
    <n v="1.9999999999999929"/>
    <n v="3.9999999999999858"/>
    <n v="11.999999999999957"/>
    <n v="16"/>
    <s v="Evening"/>
    <s v="Off-Peak"/>
    <n v="0.14500000000000052"/>
    <n v="36.206896551724135"/>
    <n v="0.35195530726256985"/>
    <s v="On-Time"/>
    <s v="No Delay"/>
    <x v="2"/>
  </r>
  <r>
    <s v="O142"/>
    <s v="15:21"/>
    <s v="Normal"/>
    <n v="15"/>
    <s v="15:36"/>
    <s v="15:36"/>
    <d v="1899-12-30T15:37:00"/>
    <s v="16:14"/>
    <n v="5.38"/>
    <s v="R13"/>
    <n v="256"/>
    <n v="103"/>
    <s v="Delivered"/>
    <n v="17"/>
    <s v="Low"/>
    <s v="No"/>
    <s v="None"/>
    <n v="53.000000000000128"/>
    <n v="0"/>
    <n v="0.99999999999999645"/>
    <n v="37.000000000000028"/>
    <n v="15"/>
    <s v="Evening"/>
    <s v="Off-Peak"/>
    <n v="0.14540540540540528"/>
    <n v="19.144981412639407"/>
    <n v="0.40234375"/>
    <s v="Late"/>
    <s v="No Delay"/>
    <x v="1"/>
  </r>
  <r>
    <s v="O143"/>
    <s v="16:07"/>
    <s v="Normal"/>
    <n v="15"/>
    <s v="16:22"/>
    <s v="16:23"/>
    <d v="1899-12-30T16:26:00"/>
    <s v="16:48"/>
    <n v="2.67"/>
    <s v="R17"/>
    <n v="179"/>
    <n v="76"/>
    <s v="Failed"/>
    <n v="18"/>
    <s v="Low"/>
    <s v="Yes"/>
    <s v="Restaurant Delay"/>
    <n v="41.000000000000014"/>
    <n v="0.99999999999999645"/>
    <n v="2.9999999999999893"/>
    <n v="22.000000000000082"/>
    <n v="16"/>
    <s v="Evening"/>
    <s v="Off-Peak"/>
    <n v="0.12136363636363591"/>
    <n v="28.464419475655433"/>
    <n v="0.42458100558659218"/>
    <s v="On-Time"/>
    <s v="Restaurant Delay"/>
    <x v="0"/>
  </r>
  <r>
    <s v="O144"/>
    <s v="12:56"/>
    <s v="Normal"/>
    <n v="20"/>
    <s v="13:16"/>
    <s v="13:16"/>
    <d v="1899-12-30T13:20:00"/>
    <s v="14:01"/>
    <n v="6.3"/>
    <s v="R16"/>
    <n v="155"/>
    <n v="115"/>
    <s v="Delivered"/>
    <n v="15"/>
    <s v="Medium"/>
    <s v="No"/>
    <s v="Distance"/>
    <n v="65.000000000000085"/>
    <n v="0"/>
    <n v="3.9999999999999858"/>
    <n v="41.000000000000014"/>
    <n v="12"/>
    <s v="Afternoon"/>
    <s v="Peak"/>
    <n v="0.1536585365853658"/>
    <n v="18.253968253968253"/>
    <n v="0.74193548387096775"/>
    <s v="Late"/>
    <s v="No Delay"/>
    <x v="1"/>
  </r>
  <r>
    <s v="O145"/>
    <s v="13:34"/>
    <s v="Normal"/>
    <n v="12"/>
    <s v="13:46"/>
    <s v="13:47"/>
    <d v="1899-12-30T13:50:00"/>
    <s v="14:16"/>
    <n v="2.59"/>
    <s v="R11"/>
    <n v="398"/>
    <n v="80"/>
    <s v="Delivered"/>
    <n v="15"/>
    <s v="Medium"/>
    <s v="No"/>
    <s v="None"/>
    <n v="42.000000000000014"/>
    <n v="0.99999999999983658"/>
    <n v="2.9999999999999893"/>
    <n v="26.000000000000068"/>
    <n v="13"/>
    <s v="Afternoon"/>
    <s v="Peak"/>
    <n v="9.9615384615384356E-2"/>
    <n v="30.88803088803089"/>
    <n v="0.20100502512562815"/>
    <s v="On-Time"/>
    <s v="No Delay"/>
    <x v="0"/>
  </r>
  <r>
    <s v="O146"/>
    <s v="14:11"/>
    <s v="Normal"/>
    <n v="17"/>
    <s v="14:28"/>
    <s v="14:29"/>
    <d v="1899-12-30T14:33:00"/>
    <s v="14:56"/>
    <n v="3.59"/>
    <s v="R18"/>
    <n v="252"/>
    <n v="83"/>
    <s v="Delivered"/>
    <n v="20"/>
    <s v="Low"/>
    <s v="No"/>
    <s v="None"/>
    <n v="45"/>
    <n v="0.99999999999999645"/>
    <n v="3.9999999999999858"/>
    <n v="23.000000000000078"/>
    <n v="14"/>
    <s v="Afternoon"/>
    <s v="Off-Peak"/>
    <n v="0.1560869565217386"/>
    <n v="23.119777158774376"/>
    <n v="0.32936507936507936"/>
    <s v="On-Time"/>
    <s v="No Delay"/>
    <x v="0"/>
  </r>
  <r>
    <s v="O147"/>
    <s v="12:03"/>
    <s v="Normal"/>
    <n v="14"/>
    <s v="12:17"/>
    <s v="12:20"/>
    <d v="1899-12-30T12:23:00"/>
    <s v="12:43"/>
    <n v="2.0499999999999998"/>
    <s v="R1"/>
    <n v="354"/>
    <n v="71"/>
    <s v="Delivered"/>
    <n v="18"/>
    <s v="Medium"/>
    <s v="No"/>
    <s v="None"/>
    <n v="40.000000000000014"/>
    <n v="3.0000000000001492"/>
    <n v="2.9999999999999893"/>
    <n v="19.999999999999929"/>
    <n v="12"/>
    <s v="Afternoon"/>
    <s v="Peak"/>
    <n v="0.10250000000000035"/>
    <n v="34.634146341463421"/>
    <n v="0.20056497175141244"/>
    <s v="On-Time"/>
    <s v="No Delay"/>
    <x v="0"/>
  </r>
  <r>
    <s v="O148"/>
    <s v="11:16"/>
    <s v="Normal"/>
    <n v="17"/>
    <s v="11:33"/>
    <s v="11:35"/>
    <d v="1899-12-30T11:39:00"/>
    <s v="12:18"/>
    <n v="5.67"/>
    <s v="R17"/>
    <n v="189"/>
    <n v="109"/>
    <s v="Delivered"/>
    <n v="18"/>
    <s v="Medium"/>
    <s v="No"/>
    <s v="None"/>
    <n v="62.000000000000021"/>
    <n v="1.9999999999999929"/>
    <n v="3.9999999999999858"/>
    <n v="39.000000000000099"/>
    <n v="11"/>
    <s v="Late Morning"/>
    <s v="Off-Peak"/>
    <n v="0.145384615384615"/>
    <n v="19.223985890652557"/>
    <n v="0.57671957671957674"/>
    <s v="Late"/>
    <s v="No Delay"/>
    <x v="1"/>
  </r>
  <r>
    <s v="O149"/>
    <s v="11:48"/>
    <s v="Normal"/>
    <n v="10"/>
    <s v="11:58"/>
    <s v="11:59"/>
    <d v="1899-12-30T12:02:00"/>
    <s v="12:47"/>
    <n v="6.68"/>
    <s v="R1"/>
    <n v="250"/>
    <n v="119"/>
    <s v="Delivered"/>
    <n v="15"/>
    <s v="Medium"/>
    <s v="No"/>
    <s v="Distance"/>
    <n v="58.99999999999995"/>
    <n v="0.99999999999991651"/>
    <n v="3.0000000000000693"/>
    <n v="45"/>
    <n v="11"/>
    <s v="Late Morning"/>
    <s v="Off-Peak"/>
    <n v="0.14844444444444443"/>
    <n v="17.814371257485032"/>
    <n v="0.47599999999999998"/>
    <s v="Late"/>
    <s v="No Delay"/>
    <x v="1"/>
  </r>
  <r>
    <s v="O150"/>
    <s v="19:17"/>
    <s v="Normal"/>
    <n v="16"/>
    <s v="19:33"/>
    <s v="19:43"/>
    <d v="1899-12-30T19:50:00"/>
    <s v="20:21"/>
    <n v="2.25"/>
    <s v="R18"/>
    <n v="348"/>
    <n v="87"/>
    <s v="Delivered"/>
    <n v="9"/>
    <s v="High"/>
    <s v="No"/>
    <s v="Traffic"/>
    <n v="64.000000000000085"/>
    <n v="9.9999999999999645"/>
    <n v="6.9999999999999751"/>
    <n v="31.00000000000021"/>
    <n v="19"/>
    <s v="Peak Night"/>
    <s v="Peak"/>
    <n v="7.2580645161289828E-2"/>
    <n v="38.666666666666664"/>
    <n v="0.25"/>
    <s v="Late"/>
    <s v="No Delay"/>
    <x v="0"/>
  </r>
  <r>
    <s v="O151"/>
    <s v="19:31"/>
    <s v="Normal"/>
    <n v="12"/>
    <s v="19:43"/>
    <s v="19:44"/>
    <d v="1899-12-30T19:53:00"/>
    <s v="20:15"/>
    <n v="1.1499999999999999"/>
    <s v="R2"/>
    <n v="353"/>
    <n v="75"/>
    <s v="Delivered"/>
    <n v="11"/>
    <s v="High"/>
    <s v="No"/>
    <s v="Traffic"/>
    <n v="44"/>
    <n v="1.0000000000001563"/>
    <n v="8.999999999999968"/>
    <n v="21.999999999999922"/>
    <n v="19"/>
    <s v="Peak Night"/>
    <s v="Peak"/>
    <n v="5.2272727272727457E-2"/>
    <n v="65.217391304347828"/>
    <n v="0.21246458923512748"/>
    <s v="On-Time"/>
    <s v="No Delay"/>
    <x v="2"/>
  </r>
  <r>
    <s v="O152"/>
    <s v="18:48"/>
    <s v="Normal"/>
    <n v="18"/>
    <s v="19:06"/>
    <s v="19:06"/>
    <d v="1899-12-30T19:09:00"/>
    <s v="19:49"/>
    <n v="5.57"/>
    <s v="R15"/>
    <n v="349"/>
    <n v="109"/>
    <s v="Delivered"/>
    <n v="17"/>
    <s v="Medium"/>
    <s v="No"/>
    <s v="None"/>
    <n v="60.999999999999943"/>
    <n v="0"/>
    <n v="2.9999999999999893"/>
    <n v="39.999999999999858"/>
    <n v="18"/>
    <s v="Peak Night"/>
    <s v="Peak"/>
    <n v="0.13925000000000051"/>
    <n v="19.569120287253142"/>
    <n v="0.31232091690544411"/>
    <s v="Late"/>
    <s v="No Delay"/>
    <x v="1"/>
  </r>
  <r>
    <s v="O153"/>
    <s v="12:01"/>
    <s v="Normal"/>
    <n v="10"/>
    <s v="12:11"/>
    <s v="12:14"/>
    <d v="1899-12-30T12:15:00"/>
    <s v="12:50"/>
    <n v="4.92"/>
    <s v="R1"/>
    <n v="211"/>
    <n v="99"/>
    <s v="Failed"/>
    <n v="15"/>
    <s v="Medium"/>
    <s v="Yes"/>
    <s v="Restaurant Delay"/>
    <n v="48.999999999999986"/>
    <n v="2.9999999999999893"/>
    <n v="0.99999999999999645"/>
    <n v="35.000000000000036"/>
    <n v="12"/>
    <s v="Afternoon"/>
    <s v="Peak"/>
    <n v="0.14057142857142843"/>
    <n v="20.121951219512194"/>
    <n v="0.46919431279620855"/>
    <s v="Late"/>
    <s v="Restaurant Delay"/>
    <x v="0"/>
  </r>
  <r>
    <s v="O154"/>
    <s v="10:21"/>
    <s v="Normal"/>
    <n v="14"/>
    <s v="10:35"/>
    <s v="10:36"/>
    <d v="1899-12-30T10:39:00"/>
    <s v="11:20"/>
    <n v="6.06"/>
    <s v="R11"/>
    <n v="293"/>
    <n v="112"/>
    <s v="Delivered"/>
    <n v="15"/>
    <s v="Medium"/>
    <s v="No"/>
    <s v="Distance"/>
    <n v="59.000000000000114"/>
    <n v="0.99999999999991651"/>
    <n v="2.9999999999999893"/>
    <n v="41.000000000000092"/>
    <n v="10"/>
    <s v="Late Morning"/>
    <s v="Off-Peak"/>
    <n v="0.14780487804878015"/>
    <n v="18.481848184818482"/>
    <n v="0.38225255972696248"/>
    <s v="Late"/>
    <s v="No Delay"/>
    <x v="1"/>
  </r>
  <r>
    <s v="O155"/>
    <s v="19:07"/>
    <s v="Normal"/>
    <n v="18"/>
    <s v="19:25"/>
    <s v="19:28"/>
    <d v="1899-12-30T19:35:00"/>
    <s v="20:03"/>
    <n v="2.17"/>
    <s v="R7"/>
    <n v="356"/>
    <n v="84"/>
    <s v="Delivered"/>
    <n v="11"/>
    <s v="High"/>
    <s v="No"/>
    <s v="Traffic"/>
    <n v="55.999999999999957"/>
    <n v="2.9999999999998295"/>
    <n v="6.9999999999999751"/>
    <n v="28.00000000000022"/>
    <n v="19"/>
    <s v="Peak Night"/>
    <s v="Peak"/>
    <n v="7.7499999999999389E-2"/>
    <n v="38.70967741935484"/>
    <n v="0.23595505617977527"/>
    <s v="Late"/>
    <s v="No Delay"/>
    <x v="0"/>
  </r>
  <r>
    <s v="O156"/>
    <s v="18:27"/>
    <s v="Normal"/>
    <n v="15"/>
    <s v="18:42"/>
    <s v="18:43"/>
    <d v="1899-12-30T18:46:00"/>
    <s v="19:21"/>
    <n v="4.97"/>
    <s v="R3"/>
    <n v="309"/>
    <n v="101"/>
    <s v="Delivered"/>
    <n v="13"/>
    <s v="Medium"/>
    <s v="No"/>
    <s v="None"/>
    <n v="54.000000000000128"/>
    <n v="0.99999999999983658"/>
    <n v="2.9999999999999893"/>
    <n v="35.000000000000199"/>
    <n v="18"/>
    <s v="Peak Night"/>
    <s v="Peak"/>
    <n v="0.14199999999999918"/>
    <n v="20.321931589537225"/>
    <n v="0.32686084142394822"/>
    <s v="Late"/>
    <s v="No Delay"/>
    <x v="0"/>
  </r>
  <r>
    <s v="O157"/>
    <s v="16:09"/>
    <s v="Normal"/>
    <n v="12"/>
    <s v="16:21"/>
    <s v="16:24"/>
    <d v="1899-12-30T16:29:00"/>
    <s v="16:46"/>
    <n v="2.77"/>
    <s v="R1"/>
    <n v="269"/>
    <n v="74"/>
    <s v="Delivered"/>
    <n v="17"/>
    <s v="Low"/>
    <s v="No"/>
    <s v="None"/>
    <n v="37.000000000000028"/>
    <n v="2.9999999999998295"/>
    <n v="4.9999999999999822"/>
    <n v="17.000000000000099"/>
    <n v="16"/>
    <s v="Evening"/>
    <s v="Off-Peak"/>
    <n v="0.16294117647058728"/>
    <n v="26.714801444043321"/>
    <n v="0.27509293680297398"/>
    <s v="On-Time"/>
    <s v="No Delay"/>
    <x v="0"/>
  </r>
  <r>
    <s v="O158"/>
    <s v="12:32"/>
    <s v="Normal"/>
    <n v="14"/>
    <s v="12:46"/>
    <s v="12:47"/>
    <d v="1899-12-30T12:52:00"/>
    <s v="13:07"/>
    <n v="1.49"/>
    <s v="R8"/>
    <n v="333"/>
    <n v="65"/>
    <s v="Delivered"/>
    <n v="13"/>
    <s v="Medium"/>
    <s v="No"/>
    <s v="None"/>
    <n v="35.000000000000036"/>
    <n v="0.99999999999999645"/>
    <n v="4.9999999999999822"/>
    <n v="15.000000000000107"/>
    <n v="12"/>
    <s v="Afternoon"/>
    <s v="Peak"/>
    <n v="9.9333333333332621E-2"/>
    <n v="43.624161073825505"/>
    <n v="0.19519519519519518"/>
    <s v="On-Time"/>
    <s v="No Delay"/>
    <x v="2"/>
  </r>
  <r>
    <s v="O159"/>
    <s v="19:51"/>
    <s v="Bulk"/>
    <n v="39"/>
    <s v="20:30"/>
    <s v="20:35"/>
    <d v="1899-12-30T20:41:00"/>
    <s v="21:02"/>
    <n v="1.58"/>
    <s v="R2"/>
    <n v="320"/>
    <n v="73"/>
    <s v="Delivered"/>
    <n v="11"/>
    <s v="High"/>
    <s v="No"/>
    <s v="Traffic"/>
    <n v="71.000000000000071"/>
    <n v="4.9999999999999822"/>
    <n v="5.9999999999999787"/>
    <n v="21.000000000000245"/>
    <n v="19"/>
    <s v="Peak Night"/>
    <s v="Peak"/>
    <n v="7.5238095238094368E-2"/>
    <n v="46.202531645569621"/>
    <n v="0.22812499999999999"/>
    <s v="Late"/>
    <s v="No Delay"/>
    <x v="2"/>
  </r>
  <r>
    <s v="O160"/>
    <s v="10:30"/>
    <s v="Normal"/>
    <n v="16"/>
    <s v="10:46"/>
    <s v="10:47"/>
    <d v="1899-12-30T10:51:00"/>
    <s v="11:13"/>
    <n v="1.96"/>
    <s v="R3"/>
    <n v="289"/>
    <n v="74"/>
    <s v="Delivered"/>
    <n v="15"/>
    <s v="Medium"/>
    <s v="No"/>
    <s v="None"/>
    <n v="43.000000000000007"/>
    <n v="0.99999999999999645"/>
    <n v="3.9999999999999858"/>
    <n v="22"/>
    <n v="10"/>
    <s v="Late Morning"/>
    <s v="Off-Peak"/>
    <n v="8.9090909090909096E-2"/>
    <n v="37.755102040816325"/>
    <n v="0.25605536332179929"/>
    <s v="On-Time"/>
    <s v="No Delay"/>
    <x v="2"/>
  </r>
  <r>
    <s v="O161"/>
    <s v="14:07"/>
    <s v="Normal"/>
    <n v="12"/>
    <s v="14:19"/>
    <s v="14:22"/>
    <d v="1899-12-30T14:24:00"/>
    <s v="14:58"/>
    <n v="5.63"/>
    <s v="R6"/>
    <n v="364"/>
    <n v="102"/>
    <s v="Delivered"/>
    <n v="17"/>
    <s v="Low"/>
    <s v="No"/>
    <s v="None"/>
    <n v="50.999999999999979"/>
    <n v="2.9999999999999893"/>
    <n v="1.9999999999999929"/>
    <n v="34.000000000000043"/>
    <n v="14"/>
    <s v="Afternoon"/>
    <s v="Off-Peak"/>
    <n v="0.16558823529411743"/>
    <n v="18.117229129662523"/>
    <n v="0.28021978021978022"/>
    <s v="Late"/>
    <s v="No Delay"/>
    <x v="1"/>
  </r>
  <r>
    <s v="O162"/>
    <s v="13:50"/>
    <s v="Normal"/>
    <n v="12"/>
    <s v="14:02"/>
    <s v="14:02"/>
    <d v="1899-12-30T14:06:00"/>
    <s v="14:40"/>
    <n v="4.75"/>
    <s v="R7"/>
    <n v="226"/>
    <n v="100"/>
    <s v="Delivered"/>
    <n v="14"/>
    <s v="Medium"/>
    <s v="No"/>
    <s v="None"/>
    <n v="49.999999999999822"/>
    <n v="0"/>
    <n v="3.9999999999999858"/>
    <n v="33.999999999999879"/>
    <n v="13"/>
    <s v="Afternoon"/>
    <s v="Peak"/>
    <n v="0.13970588235294168"/>
    <n v="21.05263157894737"/>
    <n v="0.44247787610619471"/>
    <s v="Late"/>
    <s v="No Delay"/>
    <x v="0"/>
  </r>
  <r>
    <s v="O163"/>
    <s v="17:54"/>
    <s v="Bulk"/>
    <n v="28"/>
    <s v="18:22"/>
    <s v="18:29"/>
    <d v="1899-12-30T18:32:00"/>
    <s v="19:14"/>
    <n v="6.28"/>
    <s v="R11"/>
    <n v="163"/>
    <n v="114"/>
    <s v="Delivered"/>
    <n v="16"/>
    <s v="Medium"/>
    <s v="No"/>
    <s v="Restaurant Delay"/>
    <n v="80.000000000000199"/>
    <n v="6.9999999999999751"/>
    <n v="2.9999999999999893"/>
    <n v="42.000000000000014"/>
    <n v="17"/>
    <s v="Evening"/>
    <s v="Peak"/>
    <n v="0.14952380952380948"/>
    <n v="18.152866242038215"/>
    <n v="0.69938650306748462"/>
    <s v="Late"/>
    <s v="No Delay"/>
    <x v="1"/>
  </r>
  <r>
    <s v="O164"/>
    <s v="12:43"/>
    <s v="Normal"/>
    <n v="20"/>
    <s v="13:03"/>
    <s v="13:06"/>
    <d v="1899-12-30T13:07:00"/>
    <s v="13:26"/>
    <n v="1.79"/>
    <s v="R7"/>
    <n v="212"/>
    <n v="67"/>
    <s v="Delivered"/>
    <n v="18"/>
    <s v="Medium"/>
    <s v="No"/>
    <s v="None"/>
    <n v="43.000000000000007"/>
    <n v="2.9999999999998295"/>
    <n v="0.99999999999999645"/>
    <n v="19.000000000000092"/>
    <n v="12"/>
    <s v="Afternoon"/>
    <s v="Peak"/>
    <n v="9.4210526315789023E-2"/>
    <n v="37.430167597765362"/>
    <n v="0.31603773584905659"/>
    <s v="On-Time"/>
    <s v="No Delay"/>
    <x v="2"/>
  </r>
  <r>
    <s v="O165"/>
    <s v="18:36"/>
    <s v="Normal"/>
    <n v="11"/>
    <s v="18:47"/>
    <s v="18:50"/>
    <d v="1899-12-30T18:56:00"/>
    <s v="19:36"/>
    <n v="6.73"/>
    <s v="R5"/>
    <n v="282"/>
    <n v="118"/>
    <s v="Delivered"/>
    <n v="17"/>
    <s v="Medium"/>
    <s v="No"/>
    <s v="Distance"/>
    <n v="60.000000000000107"/>
    <n v="2.9999999999998295"/>
    <n v="5.9999999999999787"/>
    <n v="40.000000000000178"/>
    <n v="18"/>
    <s v="Peak Night"/>
    <s v="Peak"/>
    <n v="0.16824999999999926"/>
    <n v="17.533432392273401"/>
    <n v="0.41843971631205673"/>
    <s v="Late"/>
    <s v="No Delay"/>
    <x v="1"/>
  </r>
  <r>
    <s v="O166"/>
    <s v="19:52"/>
    <s v="Normal"/>
    <n v="10"/>
    <s v="20:02"/>
    <s v="20:11"/>
    <d v="1899-12-30T20:20:00"/>
    <s v="21:10"/>
    <n v="7.9"/>
    <s v="R18"/>
    <n v="273"/>
    <n v="137"/>
    <s v="Delivered"/>
    <n v="8"/>
    <s v="High"/>
    <s v="No"/>
    <s v="Traffic"/>
    <n v="78.000000000000043"/>
    <n v="8.999999999999968"/>
    <n v="8.999999999999968"/>
    <n v="50.000000000000142"/>
    <n v="19"/>
    <s v="Peak Night"/>
    <s v="Peak"/>
    <n v="0.15799999999999956"/>
    <n v="17.341772151898734"/>
    <n v="0.50183150183150182"/>
    <s v="Late"/>
    <s v="No Delay"/>
    <x v="1"/>
  </r>
  <r>
    <s v="O167"/>
    <s v="13:56"/>
    <s v="Normal"/>
    <n v="20"/>
    <s v="14:16"/>
    <s v="14:17"/>
    <d v="1899-12-30T14:19:00"/>
    <s v="15:02"/>
    <n v="5.69"/>
    <s v="R9"/>
    <n v="397"/>
    <n v="111"/>
    <s v="Delivered"/>
    <n v="13"/>
    <s v="Medium"/>
    <s v="No"/>
    <s v="None"/>
    <n v="65.999999999999929"/>
    <n v="0.99999999999999645"/>
    <n v="1.9999999999999929"/>
    <n v="43.000000000000007"/>
    <n v="13"/>
    <s v="Afternoon"/>
    <s v="Peak"/>
    <n v="0.13232558139534883"/>
    <n v="19.507908611599294"/>
    <n v="0.27959697732997479"/>
    <s v="Late"/>
    <s v="No Delay"/>
    <x v="1"/>
  </r>
  <r>
    <s v="O168"/>
    <s v="17:11"/>
    <s v="Normal"/>
    <n v="17"/>
    <s v="17:28"/>
    <s v="17:29"/>
    <d v="1899-12-30T17:30:00"/>
    <s v="18:20"/>
    <n v="6.82"/>
    <s v="R15"/>
    <n v="154"/>
    <n v="123"/>
    <s v="Delivered"/>
    <n v="12"/>
    <s v="Medium"/>
    <s v="No"/>
    <s v="Distance"/>
    <n v="68.999999999999915"/>
    <n v="1.0000000000001563"/>
    <n v="0.99999999999999645"/>
    <n v="49.999999999999822"/>
    <n v="17"/>
    <s v="Evening"/>
    <s v="Peak"/>
    <n v="0.13640000000000049"/>
    <n v="18.035190615835777"/>
    <n v="0.79870129870129869"/>
    <s v="Late"/>
    <s v="No Delay"/>
    <x v="1"/>
  </r>
  <r>
    <s v="O169"/>
    <s v="10:45"/>
    <s v="Normal"/>
    <n v="16"/>
    <s v="11:01"/>
    <s v="11:03"/>
    <d v="1899-12-30T11:08:00"/>
    <s v="11:43"/>
    <n v="4.7699999999999996"/>
    <s v="R3"/>
    <n v="174"/>
    <n v="102"/>
    <s v="Delivered"/>
    <n v="18"/>
    <s v="Medium"/>
    <s v="No"/>
    <s v="None"/>
    <n v="57.999999999999957"/>
    <n v="1.9999999999999929"/>
    <n v="4.9999999999999822"/>
    <n v="34.999999999999957"/>
    <n v="10"/>
    <s v="Late Morning"/>
    <s v="Off-Peak"/>
    <n v="0.13628571428571443"/>
    <n v="21.383647798742139"/>
    <n v="0.58620689655172409"/>
    <s v="Late"/>
    <s v="No Delay"/>
    <x v="0"/>
  </r>
  <r>
    <s v="O170"/>
    <s v="10:43"/>
    <s v="Normal"/>
    <n v="17"/>
    <s v="11:00"/>
    <s v="11:01"/>
    <d v="1899-12-30T11:05:00"/>
    <s v="11:39"/>
    <n v="5.17"/>
    <s v="R17"/>
    <n v="248"/>
    <n v="102"/>
    <s v="Delivered"/>
    <n v="13"/>
    <s v="Medium"/>
    <s v="No"/>
    <s v="None"/>
    <n v="55.999999999999957"/>
    <n v="1.0000000000000764"/>
    <n v="3.9999999999999858"/>
    <n v="33.999999999999957"/>
    <n v="10"/>
    <s v="Late Morning"/>
    <s v="Off-Peak"/>
    <n v="0.15205882352941194"/>
    <n v="19.729206963249517"/>
    <n v="0.41129032258064518"/>
    <s v="Late"/>
    <s v="No Delay"/>
    <x v="1"/>
  </r>
  <r>
    <s v="O171"/>
    <s v="16:09"/>
    <s v="Normal"/>
    <n v="15"/>
    <s v="16:24"/>
    <s v="16:24"/>
    <d v="1899-12-30T16:25:00"/>
    <s v="17:14"/>
    <n v="7.87"/>
    <s v="R15"/>
    <n v="163"/>
    <n v="127"/>
    <s v="Delivered"/>
    <n v="20"/>
    <s v="Low"/>
    <s v="No"/>
    <s v="Distance"/>
    <n v="65.000000000000085"/>
    <n v="0"/>
    <n v="0.99999999999999645"/>
    <n v="49.000000000000142"/>
    <n v="16"/>
    <s v="Evening"/>
    <s v="Off-Peak"/>
    <n v="0.16061224489795872"/>
    <n v="16.137229987293519"/>
    <n v="0.77914110429447858"/>
    <s v="Late"/>
    <s v="No Delay"/>
    <x v="1"/>
  </r>
  <r>
    <s v="O172"/>
    <s v="10:45"/>
    <s v="Normal"/>
    <n v="12"/>
    <s v="10:57"/>
    <s v="10:57"/>
    <d v="1899-12-30T10:58:00"/>
    <s v="11:32"/>
    <n v="4.28"/>
    <s v="R19"/>
    <n v="363"/>
    <n v="94"/>
    <s v="Delivered"/>
    <n v="13"/>
    <s v="Medium"/>
    <s v="No"/>
    <s v="None"/>
    <n v="46.999999999999993"/>
    <n v="0"/>
    <n v="0.99999999999999645"/>
    <n v="34.000000000000043"/>
    <n v="10"/>
    <s v="Late Morning"/>
    <s v="Off-Peak"/>
    <n v="0.12588235294117631"/>
    <n v="21.962616822429904"/>
    <n v="0.25895316804407714"/>
    <s v="Late"/>
    <s v="No Delay"/>
    <x v="0"/>
  </r>
  <r>
    <s v="O173"/>
    <s v="16:45"/>
    <s v="Bulk"/>
    <n v="37"/>
    <s v="17:22"/>
    <s v="17:30"/>
    <d v="1899-12-30T17:36:00"/>
    <s v="18:08"/>
    <n v="5.52"/>
    <s v="R16"/>
    <n v="240"/>
    <n v="104"/>
    <s v="Delivered"/>
    <n v="19"/>
    <s v="Low"/>
    <s v="No"/>
    <s v="Restaurant Delay"/>
    <n v="83.000000000000028"/>
    <n v="7.9999999999999716"/>
    <n v="5.9999999999999787"/>
    <n v="32.000000000000043"/>
    <n v="16"/>
    <s v="Evening"/>
    <s v="Off-Peak"/>
    <n v="0.17249999999999976"/>
    <n v="18.840579710144929"/>
    <n v="0.43333333333333335"/>
    <s v="Late"/>
    <s v="No Delay"/>
    <x v="1"/>
  </r>
  <r>
    <s v="O174"/>
    <s v="10:50"/>
    <s v="Normal"/>
    <n v="17"/>
    <s v="11:07"/>
    <s v="11:09"/>
    <d v="1899-12-30T11:10:00"/>
    <s v="11:39"/>
    <n v="3.13"/>
    <s v="R19"/>
    <n v="302"/>
    <n v="84"/>
    <s v="Delivered"/>
    <n v="12"/>
    <s v="Medium"/>
    <s v="No"/>
    <s v="None"/>
    <n v="48.999999999999986"/>
    <n v="1.9999999999999929"/>
    <n v="0.99999999999999645"/>
    <n v="28.999999999999979"/>
    <n v="10"/>
    <s v="Late Morning"/>
    <s v="Off-Peak"/>
    <n v="0.1079310344827587"/>
    <n v="26.837060702875402"/>
    <n v="0.27814569536423839"/>
    <s v="Late"/>
    <s v="No Delay"/>
    <x v="0"/>
  </r>
  <r>
    <s v="O175"/>
    <s v="19:29"/>
    <s v="Normal"/>
    <n v="14"/>
    <s v="19:43"/>
    <s v="19:50"/>
    <d v="1899-12-30T19:59:00"/>
    <s v="20:48"/>
    <n v="6.51"/>
    <s v="R1"/>
    <n v="283"/>
    <n v="129"/>
    <s v="Delivered"/>
    <n v="8"/>
    <s v="High"/>
    <s v="No"/>
    <s v="Traffic"/>
    <n v="79.000000000000043"/>
    <n v="6.9999999999999751"/>
    <n v="8.999999999999968"/>
    <n v="49.000000000000142"/>
    <n v="19"/>
    <s v="Peak Night"/>
    <s v="Peak"/>
    <n v="0.13285714285714248"/>
    <n v="19.815668202764979"/>
    <n v="0.45583038869257952"/>
    <s v="Late"/>
    <s v="No Delay"/>
    <x v="1"/>
  </r>
  <r>
    <s v="O176"/>
    <s v="19:49"/>
    <s v="Normal"/>
    <n v="10"/>
    <s v="19:59"/>
    <s v="20:01"/>
    <d v="1899-12-30T20:12:00"/>
    <s v="20:31"/>
    <n v="1.1000000000000001"/>
    <s v="R18"/>
    <n v="244"/>
    <n v="74"/>
    <s v="Delivered"/>
    <n v="12"/>
    <s v="High"/>
    <s v="No"/>
    <s v="Traffic"/>
    <n v="42.000000000000014"/>
    <n v="1.999999999999833"/>
    <n v="10.999999999999961"/>
    <n v="19.000000000000092"/>
    <n v="19"/>
    <s v="Peak Night"/>
    <s v="Peak"/>
    <n v="5.7894736842104985E-2"/>
    <n v="67.272727272727266"/>
    <n v="0.30327868852459017"/>
    <s v="On-Time"/>
    <s v="No Delay"/>
    <x v="2"/>
  </r>
  <r>
    <s v="O177"/>
    <s v="10:35"/>
    <s v="Normal"/>
    <n v="19"/>
    <s v="10:54"/>
    <s v="10:54"/>
    <d v="1899-12-30T10:59:00"/>
    <s v="11:45"/>
    <n v="7.27"/>
    <s v="R11"/>
    <n v="264"/>
    <n v="125"/>
    <s v="Delivered"/>
    <n v="12"/>
    <s v="Medium"/>
    <s v="No"/>
    <s v="Distance"/>
    <n v="69.999999999999915"/>
    <n v="0"/>
    <n v="4.9999999999999822"/>
    <n v="46"/>
    <n v="10"/>
    <s v="Late Morning"/>
    <s v="Off-Peak"/>
    <n v="0.15804347826086956"/>
    <n v="17.1939477303989"/>
    <n v="0.47348484848484851"/>
    <s v="Late"/>
    <s v="No Delay"/>
    <x v="1"/>
  </r>
  <r>
    <s v="O178"/>
    <s v="18:32"/>
    <s v="Normal"/>
    <n v="18"/>
    <s v="18:50"/>
    <s v="18:52"/>
    <d v="1899-12-30T18:58:00"/>
    <s v="19:41"/>
    <n v="7.37"/>
    <s v="R19"/>
    <n v="379"/>
    <n v="124"/>
    <s v="Delivered"/>
    <n v="12"/>
    <s v="Medium"/>
    <s v="No"/>
    <s v="Distance"/>
    <n v="68.999999999999915"/>
    <n v="1.9999999999999929"/>
    <n v="5.9999999999999787"/>
    <n v="43.000000000000007"/>
    <n v="18"/>
    <s v="Peak Night"/>
    <s v="Peak"/>
    <n v="0.17139534883720928"/>
    <n v="16.824966078697422"/>
    <n v="0.32717678100263853"/>
    <s v="Late"/>
    <s v="No Delay"/>
    <x v="1"/>
  </r>
  <r>
    <s v="O179"/>
    <s v="12:31"/>
    <s v="Normal"/>
    <n v="16"/>
    <s v="12:47"/>
    <s v="12:49"/>
    <d v="1899-12-30T12:54:00"/>
    <s v="13:24"/>
    <n v="3.95"/>
    <s v="R9"/>
    <n v="368"/>
    <n v="93"/>
    <s v="Delivered"/>
    <n v="14"/>
    <s v="Medium"/>
    <s v="No"/>
    <s v="None"/>
    <n v="52.999999999999972"/>
    <n v="1.9999999999999929"/>
    <n v="4.9999999999999822"/>
    <n v="30.000000000000053"/>
    <n v="12"/>
    <s v="Afternoon"/>
    <s v="Peak"/>
    <n v="0.13166666666666643"/>
    <n v="23.544303797468352"/>
    <n v="0.25271739130434784"/>
    <s v="Late"/>
    <s v="No Delay"/>
    <x v="0"/>
  </r>
  <r>
    <s v="O180"/>
    <s v="16:17"/>
    <s v="Bulk"/>
    <n v="27"/>
    <s v="16:44"/>
    <s v="16:51"/>
    <d v="1899-12-30T16:54:00"/>
    <s v="17:32"/>
    <n v="6.74"/>
    <s v="R18"/>
    <n v="251"/>
    <n v="113"/>
    <s v="Delivered"/>
    <n v="20"/>
    <s v="Low"/>
    <s v="No"/>
    <s v="Restaurant Delay"/>
    <n v="75.000000000000057"/>
    <n v="6.9999999999999751"/>
    <n v="2.9999999999999893"/>
    <n v="38.000000000000028"/>
    <n v="16"/>
    <s v="Evening"/>
    <s v="Off-Peak"/>
    <n v="0.17736842105263145"/>
    <n v="16.765578635014837"/>
    <n v="0.45019920318725098"/>
    <s v="Late"/>
    <s v="No Delay"/>
    <x v="1"/>
  </r>
  <r>
    <s v="O181"/>
    <s v="14:50"/>
    <s v="Normal"/>
    <n v="19"/>
    <s v="15:09"/>
    <s v="15:11"/>
    <d v="1899-12-30T15:16:00"/>
    <s v="15:47"/>
    <n v="5.96"/>
    <s v="R10"/>
    <n v="182"/>
    <n v="104"/>
    <s v="Delivered"/>
    <n v="15"/>
    <s v="Low"/>
    <s v="No"/>
    <s v="None"/>
    <n v="56.999999999999957"/>
    <n v="1.9999999999999929"/>
    <n v="4.9999999999999822"/>
    <n v="31.00000000000005"/>
    <n v="14"/>
    <s v="Afternoon"/>
    <s v="Off-Peak"/>
    <n v="0.19225806451612873"/>
    <n v="17.449664429530202"/>
    <n v="0.5714285714285714"/>
    <s v="Late"/>
    <s v="No Delay"/>
    <x v="1"/>
  </r>
  <r>
    <s v="O182"/>
    <s v="19:24"/>
    <s v="Normal"/>
    <n v="14"/>
    <s v="19:38"/>
    <s v="19:48"/>
    <d v="1899-12-30T19:54:00"/>
    <s v="20:16"/>
    <n v="1.69"/>
    <s v="R17"/>
    <n v="338"/>
    <n v="74"/>
    <s v="Delivered"/>
    <n v="9"/>
    <s v="High"/>
    <s v="No"/>
    <s v="Traffic"/>
    <n v="52.000000000000135"/>
    <n v="10.000000000000124"/>
    <n v="5.9999999999999787"/>
    <n v="21.999999999999922"/>
    <n v="19"/>
    <s v="Peak Night"/>
    <s v="Peak"/>
    <n v="7.6818181818182091E-2"/>
    <n v="43.786982248520708"/>
    <n v="0.21893491124260356"/>
    <s v="Late"/>
    <s v="No Delay"/>
    <x v="2"/>
  </r>
  <r>
    <s v="O183"/>
    <s v="15:08"/>
    <s v="Normal"/>
    <n v="13"/>
    <s v="15:21"/>
    <s v="15:23"/>
    <d v="1899-12-30T15:29:00"/>
    <s v="15:54"/>
    <n v="4.8499999999999996"/>
    <s v="R17"/>
    <n v="370"/>
    <n v="93"/>
    <s v="Delivered"/>
    <n v="19"/>
    <s v="Low"/>
    <s v="No"/>
    <s v="None"/>
    <n v="46"/>
    <n v="1.9999999999999929"/>
    <n v="5.9999999999999787"/>
    <n v="25.000000000000071"/>
    <n v="15"/>
    <s v="Evening"/>
    <s v="Off-Peak"/>
    <n v="0.19399999999999942"/>
    <n v="19.175257731958766"/>
    <n v="0.25135135135135134"/>
    <s v="Late"/>
    <s v="No Delay"/>
    <x v="0"/>
  </r>
  <r>
    <s v="O184"/>
    <s v="12:16"/>
    <s v="Bulk"/>
    <n v="36"/>
    <s v="12:52"/>
    <s v="12:59"/>
    <d v="1899-12-30T13:01:00"/>
    <s v="13:22"/>
    <n v="1.26"/>
    <s v="R18"/>
    <n v="191"/>
    <n v="67"/>
    <s v="Delivered"/>
    <n v="18"/>
    <s v="Medium"/>
    <s v="No"/>
    <s v="Restaurant Delay"/>
    <n v="65.999999999999929"/>
    <n v="6.9999999999999751"/>
    <n v="1.9999999999999929"/>
    <n v="21.000000000000085"/>
    <n v="12"/>
    <s v="Afternoon"/>
    <s v="Peak"/>
    <n v="5.9999999999999755E-2"/>
    <n v="53.174603174603178"/>
    <n v="0.35078534031413611"/>
    <s v="Late"/>
    <s v="No Delay"/>
    <x v="2"/>
  </r>
  <r>
    <s v="O185"/>
    <s v="10:41"/>
    <s v="Normal"/>
    <n v="20"/>
    <s v="11:01"/>
    <s v="11:02"/>
    <d v="1899-12-30T11:05:00"/>
    <s v="11:37"/>
    <n v="3.97"/>
    <s v="R5"/>
    <n v="300"/>
    <n v="93"/>
    <s v="Delivered"/>
    <n v="17"/>
    <s v="Medium"/>
    <s v="No"/>
    <s v="None"/>
    <n v="55.999999999999957"/>
    <n v="0.99999999999991651"/>
    <n v="2.9999999999999893"/>
    <n v="32.000000000000043"/>
    <n v="10"/>
    <s v="Late Morning"/>
    <s v="Off-Peak"/>
    <n v="0.12406249999999984"/>
    <n v="23.425692695214103"/>
    <n v="0.31"/>
    <s v="Late"/>
    <s v="No Delay"/>
    <x v="0"/>
  </r>
  <r>
    <s v="O186"/>
    <s v="20:00"/>
    <s v="Normal"/>
    <n v="14"/>
    <s v="20:14"/>
    <s v="20:16"/>
    <d v="1899-12-30T20:28:00"/>
    <s v="21:08"/>
    <n v="6.47"/>
    <s v="R20"/>
    <n v="235"/>
    <n v="122"/>
    <s v="Delivered"/>
    <n v="11"/>
    <s v="High"/>
    <s v="No"/>
    <s v="Traffic"/>
    <n v="67.999999999999915"/>
    <n v="1.9999999999999929"/>
    <n v="11.999999999999957"/>
    <n v="40.000000000000014"/>
    <n v="20"/>
    <s v="Peak Night"/>
    <s v="Peak"/>
    <n v="0.16174999999999995"/>
    <n v="18.856259659969091"/>
    <n v="0.51914893617021274"/>
    <s v="Late"/>
    <s v="No Delay"/>
    <x v="1"/>
  </r>
  <r>
    <s v="O187"/>
    <s v="16:03"/>
    <s v="Normal"/>
    <n v="20"/>
    <s v="16:23"/>
    <s v="16:23"/>
    <d v="1899-12-30T16:29:00"/>
    <s v="17:09"/>
    <n v="7.87"/>
    <s v="R18"/>
    <n v="380"/>
    <n v="123"/>
    <s v="Delivered"/>
    <n v="15"/>
    <s v="Low"/>
    <s v="No"/>
    <s v="None"/>
    <n v="65.999999999999773"/>
    <n v="0"/>
    <n v="5.9999999999999787"/>
    <n v="39.999999999999858"/>
    <n v="16"/>
    <s v="Evening"/>
    <s v="Off-Peak"/>
    <n v="0.1967500000000007"/>
    <n v="15.628970775095299"/>
    <n v="0.3236842105263158"/>
    <s v="Late"/>
    <s v="No Delay"/>
    <x v="1"/>
  </r>
  <r>
    <s v="O188"/>
    <s v="10:40"/>
    <s v="Bulk"/>
    <n v="27"/>
    <s v="11:07"/>
    <s v="11:16"/>
    <d v="1899-12-30T11:21:00"/>
    <s v="11:35"/>
    <n v="1.25"/>
    <s v="R10"/>
    <n v="263"/>
    <n v="63"/>
    <s v="Delivered"/>
    <n v="16"/>
    <s v="Medium"/>
    <s v="No"/>
    <s v="Restaurant Delay"/>
    <n v="55.000000000000043"/>
    <n v="9.000000000000048"/>
    <n v="4.9999999999999822"/>
    <n v="13.99999999999995"/>
    <n v="10"/>
    <s v="Late Morning"/>
    <s v="Off-Peak"/>
    <n v="8.9285714285714607E-2"/>
    <n v="50.4"/>
    <n v="0.23954372623574144"/>
    <s v="Late"/>
    <s v="No Delay"/>
    <x v="2"/>
  </r>
  <r>
    <s v="O189"/>
    <s v="14:08"/>
    <s v="Normal"/>
    <n v="15"/>
    <s v="14:23"/>
    <s v="14:23"/>
    <d v="1899-12-30T14:29:00"/>
    <s v="15:11"/>
    <n v="7.61"/>
    <s v="R7"/>
    <n v="196"/>
    <n v="124"/>
    <s v="Delivered"/>
    <n v="17"/>
    <s v="Low"/>
    <s v="No"/>
    <s v="Distance"/>
    <n v="62.999999999999936"/>
    <n v="0"/>
    <n v="5.9999999999999787"/>
    <n v="42.000000000000014"/>
    <n v="14"/>
    <s v="Afternoon"/>
    <s v="Off-Peak"/>
    <n v="0.18119047619047612"/>
    <n v="16.294349540078844"/>
    <n v="0.63265306122448983"/>
    <s v="Late"/>
    <s v="No Delay"/>
    <x v="1"/>
  </r>
  <r>
    <s v="O190"/>
    <s v="15:04"/>
    <s v="Normal"/>
    <n v="19"/>
    <s v="15:23"/>
    <s v="15:23"/>
    <d v="1899-12-30T15:29:00"/>
    <s v="15:55"/>
    <n v="4.32"/>
    <s v="R4"/>
    <n v="388"/>
    <n v="92"/>
    <s v="Delivered"/>
    <n v="18"/>
    <s v="Low"/>
    <s v="No"/>
    <s v="None"/>
    <n v="50.999999999999979"/>
    <n v="0"/>
    <n v="5.9999999999999787"/>
    <n v="26.000000000000068"/>
    <n v="15"/>
    <s v="Evening"/>
    <s v="Off-Peak"/>
    <n v="0.16615384615384574"/>
    <n v="21.296296296296294"/>
    <n v="0.23711340206185566"/>
    <s v="Late"/>
    <s v="No Delay"/>
    <x v="0"/>
  </r>
  <r>
    <s v="O191"/>
    <s v="19:51"/>
    <s v="Normal"/>
    <n v="16"/>
    <s v="20:07"/>
    <s v="20:10"/>
    <d v="1899-12-30T20:17:00"/>
    <s v="20:48"/>
    <n v="3.37"/>
    <s v="R16"/>
    <n v="281"/>
    <n v="93"/>
    <s v="Delivered"/>
    <n v="12"/>
    <s v="High"/>
    <s v="No"/>
    <s v="Traffic"/>
    <n v="56.999999999999957"/>
    <n v="2.9999999999999893"/>
    <n v="6.9999999999999751"/>
    <n v="31.00000000000005"/>
    <n v="19"/>
    <s v="Peak Night"/>
    <s v="Peak"/>
    <n v="0.10870967741935467"/>
    <n v="27.596439169139465"/>
    <n v="0.33096085409252668"/>
    <s v="Late"/>
    <s v="No Delay"/>
    <x v="0"/>
  </r>
  <r>
    <s v="O192"/>
    <s v="19:37"/>
    <s v="Normal"/>
    <n v="18"/>
    <s v="19:55"/>
    <s v="19:58"/>
    <d v="1899-12-30T20:08:00"/>
    <s v="20:52"/>
    <n v="5.76"/>
    <s v="R9"/>
    <n v="192"/>
    <n v="121"/>
    <s v="Delivered"/>
    <n v="11"/>
    <s v="High"/>
    <s v="No"/>
    <s v="Traffic"/>
    <n v="75.000000000000057"/>
    <n v="2.9999999999998295"/>
    <n v="9.9999999999999645"/>
    <n v="44.000000000000163"/>
    <n v="19"/>
    <s v="Peak Night"/>
    <s v="Peak"/>
    <n v="0.13090909090909042"/>
    <n v="21.006944444444446"/>
    <n v="0.63020833333333337"/>
    <s v="Late"/>
    <s v="No Delay"/>
    <x v="1"/>
  </r>
  <r>
    <s v="O193"/>
    <s v="18:57"/>
    <s v="Normal"/>
    <n v="16"/>
    <s v="19:13"/>
    <s v="19:15"/>
    <d v="1899-12-30T19:21:00"/>
    <s v="19:45"/>
    <n v="2.81"/>
    <s v="R15"/>
    <n v="350"/>
    <n v="82"/>
    <s v="Failed"/>
    <n v="16"/>
    <s v="Medium"/>
    <s v="Yes"/>
    <s v="Restaurant Delay"/>
    <n v="47.999999999999986"/>
    <n v="2.0000000000001528"/>
    <n v="5.9999999999999787"/>
    <n v="23.999999999999915"/>
    <n v="18"/>
    <s v="Peak Night"/>
    <s v="Peak"/>
    <n v="0.11708333333333375"/>
    <n v="29.181494661921707"/>
    <n v="0.23428571428571429"/>
    <s v="Late"/>
    <s v="Restaurant Delay"/>
    <x v="0"/>
  </r>
  <r>
    <s v="O194"/>
    <s v="17:48"/>
    <s v="Normal"/>
    <n v="13"/>
    <s v="18:01"/>
    <s v="18:04"/>
    <d v="1899-12-30T18:05:00"/>
    <s v="18:31"/>
    <n v="2.46"/>
    <s v="R5"/>
    <n v="328"/>
    <n v="77"/>
    <s v="Delivered"/>
    <n v="16"/>
    <s v="Medium"/>
    <s v="No"/>
    <s v="None"/>
    <n v="42.999999999999844"/>
    <n v="2.9999999999999893"/>
    <n v="0.99999999999999645"/>
    <n v="25.999999999999908"/>
    <n v="17"/>
    <s v="Evening"/>
    <s v="Peak"/>
    <n v="9.4615384615384948E-2"/>
    <n v="31.300813008130081"/>
    <n v="0.2347560975609756"/>
    <s v="On-Time"/>
    <s v="No Delay"/>
    <x v="0"/>
  </r>
  <r>
    <s v="O195"/>
    <s v="16:33"/>
    <s v="Normal"/>
    <n v="10"/>
    <s v="16:43"/>
    <s v="16:43"/>
    <d v="1899-12-30T16:48:00"/>
    <s v="17:07"/>
    <n v="3.49"/>
    <s v="R2"/>
    <n v="288"/>
    <n v="79"/>
    <s v="Delivered"/>
    <n v="20"/>
    <s v="Low"/>
    <s v="No"/>
    <s v="None"/>
    <n v="34.000000000000043"/>
    <n v="0"/>
    <n v="4.9999999999999822"/>
    <n v="19.000000000000092"/>
    <n v="16"/>
    <s v="Evening"/>
    <s v="Off-Peak"/>
    <n v="0.18368421052631489"/>
    <n v="22.636103151862464"/>
    <n v="0.27430555555555558"/>
    <s v="On-Time"/>
    <s v="No Delay"/>
    <x v="0"/>
  </r>
  <r>
    <s v="O196"/>
    <s v="15:13"/>
    <s v="Normal"/>
    <n v="15"/>
    <s v="15:28"/>
    <s v="15:28"/>
    <d v="1899-12-30T15:34:00"/>
    <s v="16:02"/>
    <n v="5.12"/>
    <s v="R11"/>
    <n v="170"/>
    <n v="98"/>
    <s v="Delivered"/>
    <n v="17"/>
    <s v="Low"/>
    <s v="No"/>
    <s v="None"/>
    <n v="49.000000000000142"/>
    <n v="0"/>
    <n v="5.9999999999999787"/>
    <n v="28.00000000000006"/>
    <n v="15"/>
    <s v="Evening"/>
    <s v="Off-Peak"/>
    <n v="0.18285714285714247"/>
    <n v="19.140625"/>
    <n v="0.57647058823529407"/>
    <s v="Late"/>
    <s v="No Delay"/>
    <x v="1"/>
  </r>
  <r>
    <s v="O197"/>
    <s v="12:02"/>
    <s v="Normal"/>
    <n v="20"/>
    <s v="12:22"/>
    <s v="12:24"/>
    <d v="1899-12-30T12:25:00"/>
    <s v="13:09"/>
    <n v="6.47"/>
    <s v="R11"/>
    <n v="305"/>
    <n v="115"/>
    <s v="Delivered"/>
    <n v="12"/>
    <s v="Medium"/>
    <s v="No"/>
    <s v="Distance"/>
    <n v="67.000000000000085"/>
    <n v="1.9999999999999929"/>
    <n v="0.99999999999999645"/>
    <n v="44"/>
    <n v="12"/>
    <s v="Afternoon"/>
    <s v="Peak"/>
    <n v="0.14704545454545453"/>
    <n v="17.77434312210201"/>
    <n v="0.37704918032786883"/>
    <s v="Late"/>
    <s v="No Delay"/>
    <x v="1"/>
  </r>
  <r>
    <s v="O198"/>
    <s v="13:58"/>
    <s v="Bulk"/>
    <n v="30"/>
    <s v="14:28"/>
    <s v="14:38"/>
    <d v="1899-12-30T14:40:00"/>
    <s v="15:25"/>
    <n v="6.25"/>
    <s v="R13"/>
    <n v="225"/>
    <n v="116"/>
    <s v="Delivered"/>
    <n v="18"/>
    <s v="Medium"/>
    <s v="No"/>
    <s v="Restaurant Delay"/>
    <n v="86.999999999999858"/>
    <n v="9.9999999999999645"/>
    <n v="1.9999999999999929"/>
    <n v="45"/>
    <n v="13"/>
    <s v="Afternoon"/>
    <s v="Peak"/>
    <n v="0.1388888888888889"/>
    <n v="18.559999999999999"/>
    <n v="0.51555555555555554"/>
    <s v="Late"/>
    <s v="No Delay"/>
    <x v="1"/>
  </r>
  <r>
    <s v="O199"/>
    <s v="17:10"/>
    <s v="Normal"/>
    <n v="17"/>
    <s v="17:27"/>
    <s v="17:30"/>
    <d v="1899-12-30T17:31:00"/>
    <s v="18:19"/>
    <n v="7.58"/>
    <s v="R2"/>
    <n v="305"/>
    <n v="125"/>
    <s v="Delivered"/>
    <n v="18"/>
    <s v="Medium"/>
    <s v="No"/>
    <s v="Distance"/>
    <n v="68.999999999999915"/>
    <n v="2.9999999999999893"/>
    <n v="0.99999999999999645"/>
    <n v="47.999999999999986"/>
    <n v="17"/>
    <s v="Evening"/>
    <s v="Peak"/>
    <n v="0.15791666666666671"/>
    <n v="16.490765171503959"/>
    <n v="0.4098360655737705"/>
    <s v="Late"/>
    <s v="No Delay"/>
    <x v="1"/>
  </r>
  <r>
    <s v="O200"/>
    <s v="14:06"/>
    <s v="Normal"/>
    <n v="13"/>
    <s v="14:19"/>
    <s v="14:20"/>
    <d v="1899-12-30T14:23:00"/>
    <s v="14:48"/>
    <n v="3.66"/>
    <s v="R12"/>
    <n v="226"/>
    <n v="84"/>
    <s v="Delivered"/>
    <n v="20"/>
    <s v="Low"/>
    <s v="No"/>
    <s v="None"/>
    <n v="42.000000000000014"/>
    <n v="0.99999999999999645"/>
    <n v="2.9999999999999893"/>
    <n v="25.000000000000071"/>
    <n v="14"/>
    <s v="Afternoon"/>
    <s v="Off-Peak"/>
    <n v="0.14639999999999959"/>
    <n v="22.950819672131146"/>
    <n v="0.37168141592920356"/>
    <s v="On-Time"/>
    <s v="No Delay"/>
    <x v="0"/>
  </r>
  <r>
    <s v="O201"/>
    <s v="10:01"/>
    <s v="Normal"/>
    <n v="20"/>
    <s v="10:21"/>
    <s v="10:22"/>
    <d v="1899-12-30T10:27:00"/>
    <s v="10:59"/>
    <n v="4.49"/>
    <s v="R18"/>
    <n v="261"/>
    <n v="97"/>
    <s v="Failed"/>
    <n v="14"/>
    <s v="Medium"/>
    <s v="Yes"/>
    <s v="Restaurant Delay"/>
    <n v="57.999999999999957"/>
    <n v="1.0000000000000764"/>
    <n v="4.9999999999999822"/>
    <n v="31.999999999999964"/>
    <n v="10"/>
    <s v="Late Morning"/>
    <s v="Off-Peak"/>
    <n v="0.14031250000000017"/>
    <n v="21.603563474387528"/>
    <n v="0.37164750957854409"/>
    <s v="Late"/>
    <s v="Restaurant Delay"/>
    <x v="0"/>
  </r>
  <r>
    <s v="O202"/>
    <s v="15:50"/>
    <s v="Normal"/>
    <n v="18"/>
    <s v="16:08"/>
    <s v="16:08"/>
    <d v="1899-12-30T16:10:00"/>
    <s v="16:54"/>
    <n v="7.57"/>
    <s v="R18"/>
    <n v="224"/>
    <n v="122"/>
    <s v="Delivered"/>
    <n v="18"/>
    <s v="Low"/>
    <s v="No"/>
    <s v="Distance"/>
    <n v="63.999999999999929"/>
    <n v="0"/>
    <n v="1.9999999999999929"/>
    <n v="44"/>
    <n v="15"/>
    <s v="Evening"/>
    <s v="Off-Peak"/>
    <n v="0.17204545454545456"/>
    <n v="16.116248348745046"/>
    <n v="0.5446428571428571"/>
    <s v="Late"/>
    <s v="No Delay"/>
    <x v="1"/>
  </r>
  <r>
    <s v="O203"/>
    <s v="14:42"/>
    <s v="Normal"/>
    <n v="14"/>
    <s v="14:56"/>
    <s v="14:57"/>
    <d v="1899-12-30T15:00:00"/>
    <s v="15:31"/>
    <n v="4.4400000000000004"/>
    <s v="R9"/>
    <n v="341"/>
    <n v="94"/>
    <s v="Delivered"/>
    <n v="15"/>
    <s v="Low"/>
    <s v="No"/>
    <s v="None"/>
    <n v="49.000000000000142"/>
    <n v="0.99999999999999645"/>
    <n v="2.9999999999999893"/>
    <n v="31.00000000000005"/>
    <n v="14"/>
    <s v="Afternoon"/>
    <s v="Off-Peak"/>
    <n v="0.14322580645161267"/>
    <n v="21.171171171171171"/>
    <n v="0.2756598240469208"/>
    <s v="Late"/>
    <s v="No Delay"/>
    <x v="0"/>
  </r>
  <r>
    <s v="O204"/>
    <s v="17:27"/>
    <s v="Normal"/>
    <n v="13"/>
    <s v="17:40"/>
    <s v="17:41"/>
    <d v="1899-12-30T17:44:00"/>
    <s v="18:18"/>
    <n v="5.18"/>
    <s v="R2"/>
    <n v="386"/>
    <n v="101"/>
    <s v="Delivered"/>
    <n v="12"/>
    <s v="Medium"/>
    <s v="No"/>
    <s v="None"/>
    <n v="51.000000000000142"/>
    <n v="0.99999999999999645"/>
    <n v="2.9999999999999893"/>
    <n v="34.000000000000043"/>
    <n v="17"/>
    <s v="Evening"/>
    <s v="Peak"/>
    <n v="0.15235294117647039"/>
    <n v="19.498069498069498"/>
    <n v="0.26165803108808289"/>
    <s v="Late"/>
    <s v="No Delay"/>
    <x v="1"/>
  </r>
  <r>
    <s v="O205"/>
    <s v="11:09"/>
    <s v="Normal"/>
    <n v="20"/>
    <s v="11:29"/>
    <s v="11:29"/>
    <d v="1899-12-30T11:33:00"/>
    <s v="12:14"/>
    <n v="6.12"/>
    <s v="R18"/>
    <n v="158"/>
    <n v="114"/>
    <s v="Failed"/>
    <n v="12"/>
    <s v="Medium"/>
    <s v="Yes"/>
    <s v="Restaurant Delay"/>
    <n v="64.999999999999929"/>
    <n v="0"/>
    <n v="3.9999999999999858"/>
    <n v="41.000000000000014"/>
    <n v="11"/>
    <s v="Late Morning"/>
    <s v="Off-Peak"/>
    <n v="0.14926829268292677"/>
    <n v="18.627450980392158"/>
    <n v="0.72151898734177211"/>
    <s v="Late"/>
    <s v="Restaurant Delay"/>
    <x v="1"/>
  </r>
  <r>
    <s v="O206"/>
    <s v="15:47"/>
    <s v="Normal"/>
    <n v="10"/>
    <s v="15:57"/>
    <s v="16:00"/>
    <d v="1899-12-30T16:05:00"/>
    <s v="16:31"/>
    <n v="4.91"/>
    <s v="R19"/>
    <n v="225"/>
    <n v="94"/>
    <s v="Delivered"/>
    <n v="19"/>
    <s v="Low"/>
    <s v="No"/>
    <s v="None"/>
    <n v="44"/>
    <n v="2.9999999999999893"/>
    <n v="4.9999999999999822"/>
    <n v="26.000000000000068"/>
    <n v="15"/>
    <s v="Evening"/>
    <s v="Off-Peak"/>
    <n v="0.18884615384615336"/>
    <n v="19.144602851323828"/>
    <n v="0.4177777777777778"/>
    <s v="On-Time"/>
    <s v="No Delay"/>
    <x v="0"/>
  </r>
  <r>
    <s v="O207"/>
    <s v="19:23"/>
    <s v="Normal"/>
    <n v="13"/>
    <s v="19:36"/>
    <s v="19:41"/>
    <d v="1899-12-30T19:49:00"/>
    <s v="20:19"/>
    <n v="3.74"/>
    <s v="R15"/>
    <n v="292"/>
    <n v="95"/>
    <s v="Delivered"/>
    <n v="9"/>
    <s v="High"/>
    <s v="No"/>
    <s v="Traffic"/>
    <n v="55.999999999999957"/>
    <n v="4.9999999999998224"/>
    <n v="7.9999999999999716"/>
    <n v="30.000000000000053"/>
    <n v="19"/>
    <s v="Peak Night"/>
    <s v="Peak"/>
    <n v="0.12466666666666645"/>
    <n v="25.401069518716575"/>
    <n v="0.32534246575342468"/>
    <s v="Late"/>
    <s v="No Delay"/>
    <x v="0"/>
  </r>
  <r>
    <s v="O208"/>
    <s v="10:36"/>
    <s v="Normal"/>
    <n v="16"/>
    <s v="10:52"/>
    <s v="10:52"/>
    <d v="1899-12-30T10:53:00"/>
    <s v="11:28"/>
    <n v="4.9400000000000004"/>
    <s v="R8"/>
    <n v="205"/>
    <n v="99"/>
    <s v="Delivered"/>
    <n v="12"/>
    <s v="Medium"/>
    <s v="No"/>
    <s v="None"/>
    <n v="52.000000000000057"/>
    <n v="0"/>
    <n v="0.99999999999999645"/>
    <n v="35.000000000000036"/>
    <n v="10"/>
    <s v="Late Morning"/>
    <s v="Off-Peak"/>
    <n v="0.14114285714285701"/>
    <n v="20.040485829959511"/>
    <n v="0.48292682926829267"/>
    <s v="Late"/>
    <s v="No Delay"/>
    <x v="0"/>
  </r>
  <r>
    <s v="O209"/>
    <s v="13:00"/>
    <s v="Normal"/>
    <n v="11"/>
    <s v="13:11"/>
    <s v="13:12"/>
    <d v="1899-12-30T13:15:00"/>
    <s v="14:01"/>
    <n v="7.15"/>
    <s v="R8"/>
    <n v="188"/>
    <n v="123"/>
    <s v="Failed"/>
    <n v="12"/>
    <s v="Medium"/>
    <s v="Yes"/>
    <s v="Restaurant Delay"/>
    <n v="61.000000000000099"/>
    <n v="0.99999999999983658"/>
    <n v="2.9999999999999893"/>
    <n v="46.000000000000156"/>
    <n v="13"/>
    <s v="Afternoon"/>
    <s v="Peak"/>
    <n v="0.15543478260869514"/>
    <n v="17.202797202797203"/>
    <n v="0.6542553191489362"/>
    <s v="Late"/>
    <s v="Restaurant Delay"/>
    <x v="1"/>
  </r>
  <r>
    <s v="O210"/>
    <s v="10:44"/>
    <s v="Normal"/>
    <n v="15"/>
    <s v="10:59"/>
    <s v="11:00"/>
    <d v="1899-12-30T11:03:00"/>
    <s v="11:24"/>
    <n v="1.62"/>
    <s v="R6"/>
    <n v="320"/>
    <n v="70"/>
    <s v="Delivered"/>
    <n v="12"/>
    <s v="Medium"/>
    <s v="No"/>
    <s v="None"/>
    <n v="40.000000000000099"/>
    <n v="0.99999999999999645"/>
    <n v="2.9999999999999893"/>
    <n v="21.000000000000085"/>
    <n v="10"/>
    <s v="Late Morning"/>
    <s v="Off-Peak"/>
    <n v="7.7142857142856833E-2"/>
    <n v="43.209876543209873"/>
    <n v="0.21875"/>
    <s v="On-Time"/>
    <s v="No Delay"/>
    <x v="2"/>
  </r>
  <r>
    <s v="O211"/>
    <s v="12:02"/>
    <s v="Bulk"/>
    <n v="26"/>
    <s v="12:28"/>
    <s v="12:38"/>
    <d v="1899-12-30T12:41:00"/>
    <s v="13:04"/>
    <n v="1.81"/>
    <s v="R9"/>
    <n v="223"/>
    <n v="73"/>
    <s v="Delivered"/>
    <n v="17"/>
    <s v="Medium"/>
    <s v="No"/>
    <s v="Restaurant Delay"/>
    <n v="61.999999999999943"/>
    <n v="9.9999999999999645"/>
    <n v="2.9999999999999893"/>
    <n v="22.999999999999918"/>
    <n v="12"/>
    <s v="Afternoon"/>
    <s v="Peak"/>
    <n v="7.8695652173913319E-2"/>
    <n v="40.331491712707184"/>
    <n v="0.3273542600896861"/>
    <s v="Late"/>
    <s v="No Delay"/>
    <x v="2"/>
  </r>
  <r>
    <s v="O212"/>
    <s v="18:59"/>
    <s v="Normal"/>
    <n v="13"/>
    <s v="19:12"/>
    <s v="19:13"/>
    <d v="1899-12-30T19:14:00"/>
    <s v="19:55"/>
    <n v="6.07"/>
    <s v="R15"/>
    <n v="241"/>
    <n v="110"/>
    <s v="Delivered"/>
    <n v="17"/>
    <s v="Medium"/>
    <s v="No"/>
    <s v="Distance"/>
    <n v="55.999999999999957"/>
    <n v="0.99999999999999645"/>
    <n v="0.99999999999999645"/>
    <n v="41.000000000000171"/>
    <n v="18"/>
    <s v="Peak Night"/>
    <s v="Peak"/>
    <n v="0.14804878048780426"/>
    <n v="18.121911037891266"/>
    <n v="0.45643153526970953"/>
    <s v="Late"/>
    <s v="No Delay"/>
    <x v="1"/>
  </r>
  <r>
    <s v="O213"/>
    <s v="16:31"/>
    <s v="Normal"/>
    <n v="16"/>
    <s v="16:47"/>
    <s v="16:50"/>
    <d v="1899-12-30T16:53:00"/>
    <s v="17:37"/>
    <n v="7.52"/>
    <s v="R6"/>
    <n v="383"/>
    <n v="123"/>
    <s v="Delivered"/>
    <n v="15"/>
    <s v="Low"/>
    <s v="No"/>
    <s v="Distance"/>
    <n v="66.000000000000085"/>
    <n v="2.9999999999998295"/>
    <n v="2.9999999999999893"/>
    <n v="44.000000000000163"/>
    <n v="16"/>
    <s v="Evening"/>
    <s v="Off-Peak"/>
    <n v="0.17090909090909026"/>
    <n v="16.356382978723406"/>
    <n v="0.32114882506527415"/>
    <s v="Late"/>
    <s v="No Delay"/>
    <x v="1"/>
  </r>
  <r>
    <s v="O214"/>
    <s v="11:56"/>
    <s v="Normal"/>
    <n v="16"/>
    <s v="12:12"/>
    <s v="12:14"/>
    <d v="1899-12-30T12:18:00"/>
    <s v="12:45"/>
    <n v="3.13"/>
    <s v="R14"/>
    <n v="244"/>
    <n v="85"/>
    <s v="Delivered"/>
    <n v="14"/>
    <s v="Medium"/>
    <s v="No"/>
    <s v="None"/>
    <n v="48.999999999999986"/>
    <n v="1.9999999999999929"/>
    <n v="3.9999999999999858"/>
    <n v="27.000000000000064"/>
    <n v="11"/>
    <s v="Late Morning"/>
    <s v="Off-Peak"/>
    <n v="0.11592592592592564"/>
    <n v="27.156549520766774"/>
    <n v="0.34836065573770492"/>
    <s v="Late"/>
    <s v="No Delay"/>
    <x v="0"/>
  </r>
  <r>
    <s v="O215"/>
    <s v="17:47"/>
    <s v="Normal"/>
    <n v="15"/>
    <s v="18:02"/>
    <s v="18:04"/>
    <d v="1899-12-30T18:06:00"/>
    <s v="18:41"/>
    <n v="4.58"/>
    <s v="R10"/>
    <n v="193"/>
    <n v="98"/>
    <s v="Delivered"/>
    <n v="15"/>
    <s v="Medium"/>
    <s v="No"/>
    <s v="None"/>
    <n v="53.999999999999972"/>
    <n v="1.999999999999833"/>
    <n v="1.9999999999999929"/>
    <n v="35.000000000000036"/>
    <n v="17"/>
    <s v="Evening"/>
    <s v="Peak"/>
    <n v="0.13085714285714273"/>
    <n v="21.397379912663755"/>
    <n v="0.50777202072538863"/>
    <s v="Late"/>
    <s v="No Delay"/>
    <x v="0"/>
  </r>
  <r>
    <s v="O216"/>
    <s v="19:40"/>
    <s v="Bulk"/>
    <n v="29"/>
    <s v="20:09"/>
    <s v="20:15"/>
    <d v="1899-12-30T20:22:00"/>
    <s v="21:06"/>
    <n v="5.51"/>
    <s v="R20"/>
    <n v="170"/>
    <n v="117"/>
    <s v="Delivered"/>
    <n v="9"/>
    <s v="High"/>
    <s v="No"/>
    <s v="Traffic"/>
    <n v="86.000000000000014"/>
    <n v="6.0000000000001386"/>
    <n v="6.9999999999999751"/>
    <n v="44.000000000000163"/>
    <n v="19"/>
    <s v="Peak Night"/>
    <s v="Peak"/>
    <n v="0.12522727272727227"/>
    <n v="21.234119782214158"/>
    <n v="0.68823529411764706"/>
    <s v="Late"/>
    <s v="No Delay"/>
    <x v="1"/>
  </r>
  <r>
    <s v="O217"/>
    <s v="14:19"/>
    <s v="Normal"/>
    <n v="20"/>
    <s v="14:39"/>
    <s v="14:42"/>
    <d v="1899-12-30T14:44:00"/>
    <s v="15:04"/>
    <n v="2.94"/>
    <s v="R5"/>
    <n v="259"/>
    <n v="75"/>
    <s v="Delivered"/>
    <n v="17"/>
    <s v="Low"/>
    <s v="No"/>
    <s v="None"/>
    <n v="45"/>
    <n v="2.9999999999998295"/>
    <n v="1.9999999999999929"/>
    <n v="20.000000000000089"/>
    <n v="14"/>
    <s v="Afternoon"/>
    <s v="Off-Peak"/>
    <n v="0.14699999999999935"/>
    <n v="25.510204081632654"/>
    <n v="0.28957528957528955"/>
    <s v="On-Time"/>
    <s v="No Delay"/>
    <x v="0"/>
  </r>
  <r>
    <s v="O218"/>
    <s v="19:23"/>
    <s v="Normal"/>
    <n v="17"/>
    <s v="19:40"/>
    <s v="19:45"/>
    <d v="1899-12-30T19:57:00"/>
    <s v="20:32"/>
    <n v="5.79"/>
    <s v="R18"/>
    <n v="272"/>
    <n v="114"/>
    <s v="Delivered"/>
    <n v="8"/>
    <s v="High"/>
    <s v="No"/>
    <s v="Traffic"/>
    <n v="69.000000000000071"/>
    <n v="4.9999999999998224"/>
    <n v="11.999999999999957"/>
    <n v="35.000000000000199"/>
    <n v="19"/>
    <s v="Peak Night"/>
    <s v="Peak"/>
    <n v="0.16542857142857048"/>
    <n v="19.689119170984455"/>
    <n v="0.41911764705882354"/>
    <s v="Late"/>
    <s v="No Delay"/>
    <x v="1"/>
  </r>
  <r>
    <s v="O219"/>
    <s v="10:35"/>
    <s v="Normal"/>
    <n v="13"/>
    <s v="10:48"/>
    <s v="10:50"/>
    <d v="1899-12-30T10:53:00"/>
    <s v="11:34"/>
    <n v="6.15"/>
    <s v="R12"/>
    <n v="372"/>
    <n v="113"/>
    <s v="Delivered"/>
    <n v="17"/>
    <s v="Medium"/>
    <s v="No"/>
    <s v="Distance"/>
    <n v="58.99999999999995"/>
    <n v="1.9999999999999929"/>
    <n v="2.9999999999999893"/>
    <n v="41.000000000000014"/>
    <n v="10"/>
    <s v="Late Morning"/>
    <s v="Off-Peak"/>
    <n v="0.14999999999999997"/>
    <n v="18.373983739837396"/>
    <n v="0.30376344086021506"/>
    <s v="Late"/>
    <s v="No Delay"/>
    <x v="1"/>
  </r>
  <r>
    <s v="O220"/>
    <s v="18:35"/>
    <s v="Normal"/>
    <n v="20"/>
    <s v="18:55"/>
    <s v="18:56"/>
    <d v="1899-12-30T19:02:00"/>
    <s v="19:37"/>
    <n v="5.58"/>
    <s v="R9"/>
    <n v="158"/>
    <n v="107"/>
    <s v="Delivered"/>
    <n v="14"/>
    <s v="Medium"/>
    <s v="No"/>
    <s v="None"/>
    <n v="62.000000000000099"/>
    <n v="0.99999999999983658"/>
    <n v="5.9999999999999787"/>
    <n v="35.000000000000036"/>
    <n v="18"/>
    <s v="Peak Night"/>
    <s v="Peak"/>
    <n v="0.15942857142857128"/>
    <n v="19.17562724014337"/>
    <n v="0.67721518987341767"/>
    <s v="Late"/>
    <s v="No Delay"/>
    <x v="1"/>
  </r>
  <r>
    <s v="O221"/>
    <s v="13:35"/>
    <s v="Bulk"/>
    <n v="34"/>
    <s v="14:09"/>
    <s v="14:16"/>
    <d v="1899-12-30T14:17:00"/>
    <s v="14:51"/>
    <n v="3.82"/>
    <s v="R10"/>
    <n v="209"/>
    <n v="92"/>
    <s v="Delivered"/>
    <n v="14"/>
    <s v="Medium"/>
    <s v="No"/>
    <s v="Restaurant Delay"/>
    <n v="76.000000000000057"/>
    <n v="6.9999999999999751"/>
    <n v="0.99999999999999645"/>
    <n v="34.000000000000043"/>
    <n v="13"/>
    <s v="Afternoon"/>
    <s v="Peak"/>
    <n v="0.11235294117647045"/>
    <n v="24.083769633507856"/>
    <n v="0.44019138755980863"/>
    <s v="Late"/>
    <s v="No Delay"/>
    <x v="0"/>
  </r>
  <r>
    <s v="O222"/>
    <s v="19:42"/>
    <s v="Bulk"/>
    <n v="28"/>
    <s v="20:10"/>
    <s v="20:17"/>
    <d v="1899-12-30T20:28:00"/>
    <s v="20:54"/>
    <n v="3.58"/>
    <s v="R3"/>
    <n v="208"/>
    <n v="93"/>
    <s v="Delivered"/>
    <n v="9"/>
    <s v="High"/>
    <s v="No"/>
    <s v="Traffic"/>
    <n v="71.999999999999901"/>
    <n v="7.000000000000135"/>
    <n v="10.999999999999961"/>
    <n v="25.999999999999748"/>
    <n v="19"/>
    <s v="Peak Night"/>
    <s v="Peak"/>
    <n v="0.13769230769230903"/>
    <n v="25.977653631284916"/>
    <n v="0.44711538461538464"/>
    <s v="Late"/>
    <s v="No Delay"/>
    <x v="0"/>
  </r>
  <r>
    <s v="O223"/>
    <s v="15:18"/>
    <s v="Normal"/>
    <n v="18"/>
    <s v="15:36"/>
    <s v="15:39"/>
    <d v="1899-12-30T15:44:00"/>
    <s v="16:26"/>
    <n v="7.32"/>
    <s v="R19"/>
    <n v="262"/>
    <n v="122"/>
    <s v="Delivered"/>
    <n v="19"/>
    <s v="Low"/>
    <s v="No"/>
    <s v="Distance"/>
    <n v="67.999999999999915"/>
    <n v="2.9999999999999893"/>
    <n v="4.9999999999999822"/>
    <n v="42.000000000000014"/>
    <n v="15"/>
    <s v="Evening"/>
    <s v="Off-Peak"/>
    <n v="0.17428571428571424"/>
    <n v="16.666666666666664"/>
    <n v="0.46564885496183206"/>
    <s v="Late"/>
    <s v="No Delay"/>
    <x v="1"/>
  </r>
  <r>
    <s v="O224"/>
    <s v="18:44"/>
    <s v="Normal"/>
    <n v="18"/>
    <s v="19:02"/>
    <s v="19:02"/>
    <d v="1899-12-30T19:08:00"/>
    <s v="19:27"/>
    <n v="2.37"/>
    <s v="R5"/>
    <n v="208"/>
    <n v="75"/>
    <s v="Delivered"/>
    <n v="18"/>
    <s v="Medium"/>
    <s v="No"/>
    <s v="None"/>
    <n v="43.000000000000007"/>
    <n v="0"/>
    <n v="5.9999999999999787"/>
    <n v="18.999999999999932"/>
    <n v="18"/>
    <s v="Peak Night"/>
    <s v="Peak"/>
    <n v="0.1247368421052636"/>
    <n v="31.645569620253163"/>
    <n v="0.36057692307692307"/>
    <s v="On-Time"/>
    <s v="No Delay"/>
    <x v="0"/>
  </r>
  <r>
    <s v="O225"/>
    <s v="12:16"/>
    <s v="Normal"/>
    <n v="10"/>
    <s v="12:26"/>
    <s v="12:26"/>
    <d v="1899-12-30T12:32:00"/>
    <s v="12:58"/>
    <n v="3.54"/>
    <s v="R20"/>
    <n v="171"/>
    <n v="88"/>
    <s v="Delivered"/>
    <n v="13"/>
    <s v="Medium"/>
    <s v="No"/>
    <s v="None"/>
    <n v="41.999999999999851"/>
    <n v="0"/>
    <n v="5.9999999999999787"/>
    <n v="25.999999999999908"/>
    <n v="12"/>
    <s v="Afternoon"/>
    <s v="Peak"/>
    <n v="0.13615384615384665"/>
    <n v="24.858757062146893"/>
    <n v="0.51461988304093564"/>
    <s v="On-Time"/>
    <s v="No Delay"/>
    <x v="0"/>
  </r>
  <r>
    <s v="O226"/>
    <s v="14:03"/>
    <s v="Normal"/>
    <n v="13"/>
    <s v="14:16"/>
    <s v="14:17"/>
    <d v="1899-12-30T14:23:00"/>
    <s v="14:54"/>
    <n v="5.51"/>
    <s v="R19"/>
    <n v="192"/>
    <n v="103"/>
    <s v="Delivered"/>
    <n v="15"/>
    <s v="Low"/>
    <s v="No"/>
    <s v="None"/>
    <n v="50.999999999999979"/>
    <n v="0.99999999999999645"/>
    <n v="5.9999999999999787"/>
    <n v="31.00000000000005"/>
    <n v="14"/>
    <s v="Afternoon"/>
    <s v="Off-Peak"/>
    <n v="0.17774193548387068"/>
    <n v="18.693284936479131"/>
    <n v="0.53645833333333337"/>
    <s v="Late"/>
    <s v="No Delay"/>
    <x v="1"/>
  </r>
  <r>
    <s v="O227"/>
    <s v="10:18"/>
    <s v="Normal"/>
    <n v="17"/>
    <s v="10:35"/>
    <s v="10:37"/>
    <d v="1899-12-30T10:41:00"/>
    <s v="11:25"/>
    <n v="7.31"/>
    <s v="R5"/>
    <n v="239"/>
    <n v="123"/>
    <s v="Delivered"/>
    <n v="16"/>
    <s v="Medium"/>
    <s v="No"/>
    <s v="Distance"/>
    <n v="66.999999999999915"/>
    <n v="1.9999999999999929"/>
    <n v="3.9999999999999858"/>
    <n v="43.999999999999922"/>
    <n v="10"/>
    <s v="Late Morning"/>
    <s v="Off-Peak"/>
    <n v="0.16613636363636392"/>
    <n v="16.82626538987688"/>
    <n v="0.5146443514644351"/>
    <s v="Late"/>
    <s v="No Delay"/>
    <x v="1"/>
  </r>
  <r>
    <s v="O228"/>
    <s v="18:19"/>
    <s v="Bulk"/>
    <n v="35"/>
    <s v="18:54"/>
    <s v="19:04"/>
    <d v="1899-12-30T19:05:00"/>
    <s v="19:58"/>
    <n v="7.53"/>
    <s v="R11"/>
    <n v="304"/>
    <n v="130"/>
    <s v="Delivered"/>
    <n v="17"/>
    <s v="Medium"/>
    <s v="No"/>
    <s v="Restaurant Delay"/>
    <n v="98.999999999999972"/>
    <n v="9.9999999999999645"/>
    <n v="0.99999999999999645"/>
    <n v="52.999999999999972"/>
    <n v="18"/>
    <s v="Peak Night"/>
    <s v="Peak"/>
    <n v="0.1420754716981133"/>
    <n v="17.264276228419654"/>
    <n v="0.42763157894736842"/>
    <s v="Late"/>
    <s v="No Delay"/>
    <x v="1"/>
  </r>
  <r>
    <s v="O229"/>
    <s v="19:46"/>
    <s v="Bulk"/>
    <n v="35"/>
    <s v="20:21"/>
    <s v="20:31"/>
    <d v="1899-12-30T20:39:00"/>
    <s v="21:03"/>
    <n v="2.83"/>
    <s v="R1"/>
    <n v="232"/>
    <n v="84"/>
    <s v="Delivered"/>
    <n v="11"/>
    <s v="High"/>
    <s v="No"/>
    <s v="Traffic"/>
    <n v="77.000000000000043"/>
    <n v="9.9999999999998046"/>
    <n v="7.9999999999999716"/>
    <n v="24.000000000000075"/>
    <n v="19"/>
    <s v="Peak Night"/>
    <s v="Peak"/>
    <n v="0.11791666666666631"/>
    <n v="29.68197879858657"/>
    <n v="0.36206896551724138"/>
    <s v="Late"/>
    <s v="No Delay"/>
    <x v="0"/>
  </r>
  <r>
    <s v="O230"/>
    <s v="13:04"/>
    <s v="Normal"/>
    <n v="13"/>
    <s v="13:17"/>
    <s v="13:19"/>
    <d v="1899-12-30T13:22:00"/>
    <s v="14:07"/>
    <n v="6.84"/>
    <s v="R16"/>
    <n v="393"/>
    <n v="120"/>
    <s v="Delivered"/>
    <n v="14"/>
    <s v="Medium"/>
    <s v="No"/>
    <s v="Distance"/>
    <n v="63.000000000000099"/>
    <n v="1.9999999999999929"/>
    <n v="2.9999999999999893"/>
    <n v="45"/>
    <n v="13"/>
    <s v="Afternoon"/>
    <s v="Peak"/>
    <n v="0.152"/>
    <n v="17.543859649122808"/>
    <n v="0.30534351145038169"/>
    <s v="Late"/>
    <s v="No Delay"/>
    <x v="1"/>
  </r>
  <r>
    <s v="O231"/>
    <s v="17:05"/>
    <s v="Normal"/>
    <n v="14"/>
    <s v="17:19"/>
    <s v="17:19"/>
    <d v="1899-12-30T17:23:00"/>
    <s v="17:51"/>
    <n v="3.04"/>
    <s v="R20"/>
    <n v="387"/>
    <n v="85"/>
    <s v="Delivered"/>
    <n v="13"/>
    <s v="Medium"/>
    <s v="No"/>
    <s v="None"/>
    <n v="46.000000000000156"/>
    <n v="0"/>
    <n v="3.9999999999999858"/>
    <n v="28.00000000000006"/>
    <n v="17"/>
    <s v="Evening"/>
    <s v="Peak"/>
    <n v="0.10857142857142833"/>
    <n v="27.960526315789473"/>
    <n v="0.21963824289405684"/>
    <s v="Late"/>
    <s v="No Delay"/>
    <x v="0"/>
  </r>
  <r>
    <s v="O232"/>
    <s v="13:42"/>
    <s v="Normal"/>
    <n v="20"/>
    <s v="14:02"/>
    <s v="14:04"/>
    <d v="1899-12-30T14:05:00"/>
    <s v="14:42"/>
    <n v="4.46"/>
    <s v="R6"/>
    <n v="322"/>
    <n v="98"/>
    <s v="Delivered"/>
    <n v="17"/>
    <s v="Medium"/>
    <s v="No"/>
    <s v="None"/>
    <n v="59.999999999999943"/>
    <n v="1.9999999999999929"/>
    <n v="0.99999999999999645"/>
    <n v="36.999999999999872"/>
    <n v="13"/>
    <s v="Afternoon"/>
    <s v="Peak"/>
    <n v="0.12054054054054096"/>
    <n v="21.973094170403588"/>
    <n v="0.30434782608695654"/>
    <s v="Late"/>
    <s v="No Delay"/>
    <x v="0"/>
  </r>
  <r>
    <s v="O233"/>
    <s v="15:30"/>
    <s v="Bulk"/>
    <n v="28"/>
    <s v="15:58"/>
    <s v="16:07"/>
    <d v="1899-12-30T16:12:00"/>
    <s v="16:39"/>
    <n v="4.66"/>
    <s v="R13"/>
    <n v="199"/>
    <n v="93"/>
    <s v="Delivered"/>
    <n v="18"/>
    <s v="Low"/>
    <s v="No"/>
    <s v="Restaurant Delay"/>
    <n v="68.999999999999915"/>
    <n v="9.0000000000001279"/>
    <n v="4.9999999999999822"/>
    <n v="26.999999999999904"/>
    <n v="15"/>
    <s v="Evening"/>
    <s v="Off-Peak"/>
    <n v="0.17259259259259321"/>
    <n v="19.957081545064376"/>
    <n v="0.46733668341708545"/>
    <s v="Late"/>
    <s v="No Delay"/>
    <x v="0"/>
  </r>
  <r>
    <s v="O234"/>
    <s v="17:40"/>
    <s v="Normal"/>
    <n v="17"/>
    <s v="17:57"/>
    <s v="17:58"/>
    <d v="1899-12-30T18:03:00"/>
    <s v="18:17"/>
    <n v="1.26"/>
    <s v="R17"/>
    <n v="159"/>
    <n v="63"/>
    <s v="Failed"/>
    <n v="17"/>
    <s v="Medium"/>
    <s v="Yes"/>
    <s v="Restaurant Delay"/>
    <n v="37.000000000000028"/>
    <n v="0.99999999999983658"/>
    <n v="4.9999999999999822"/>
    <n v="14.00000000000027"/>
    <n v="17"/>
    <s v="Evening"/>
    <s v="Peak"/>
    <n v="8.9999999999998262E-2"/>
    <n v="50"/>
    <n v="0.39622641509433965"/>
    <s v="On-Time"/>
    <s v="Restaurant Delay"/>
    <x v="2"/>
  </r>
  <r>
    <s v="O235"/>
    <s v="18:39"/>
    <s v="Normal"/>
    <n v="17"/>
    <s v="18:56"/>
    <s v="18:57"/>
    <d v="1899-12-30T18:58:00"/>
    <s v="19:48"/>
    <n v="7.42"/>
    <s v="R13"/>
    <n v="277"/>
    <n v="126"/>
    <s v="Delivered"/>
    <n v="17"/>
    <s v="Medium"/>
    <s v="No"/>
    <s v="Distance"/>
    <n v="69.000000000000227"/>
    <n v="0.99999999999999645"/>
    <n v="0.99999999999999645"/>
    <n v="50.000000000000142"/>
    <n v="18"/>
    <s v="Peak Night"/>
    <s v="Peak"/>
    <n v="0.14839999999999959"/>
    <n v="16.981132075471699"/>
    <n v="0.45487364620938631"/>
    <s v="Late"/>
    <s v="No Delay"/>
    <x v="1"/>
  </r>
  <r>
    <s v="O236"/>
    <s v="10:13"/>
    <s v="Normal"/>
    <n v="18"/>
    <s v="10:31"/>
    <s v="10:33"/>
    <d v="1899-12-30T10:36:00"/>
    <s v="11:10"/>
    <n v="4.1500000000000004"/>
    <s v="R12"/>
    <n v="244"/>
    <n v="96"/>
    <s v="Failed"/>
    <n v="18"/>
    <s v="Medium"/>
    <s v="Yes"/>
    <s v="Restaurant Delay"/>
    <n v="56.999999999999957"/>
    <n v="1.9999999999999929"/>
    <n v="2.9999999999999893"/>
    <n v="33.999999999999879"/>
    <n v="10"/>
    <s v="Late Morning"/>
    <s v="Off-Peak"/>
    <n v="0.12205882352941221"/>
    <n v="23.132530120481924"/>
    <n v="0.39344262295081966"/>
    <s v="Late"/>
    <s v="Restaurant Delay"/>
    <x v="0"/>
  </r>
  <r>
    <s v="O237"/>
    <s v="17:28"/>
    <s v="Normal"/>
    <n v="20"/>
    <s v="17:48"/>
    <s v="17:48"/>
    <d v="1899-12-30T17:51:00"/>
    <s v="18:19"/>
    <n v="3.13"/>
    <s v="R12"/>
    <n v="373"/>
    <n v="85"/>
    <s v="Delivered"/>
    <n v="17"/>
    <s v="Medium"/>
    <s v="No"/>
    <s v="None"/>
    <n v="50.999999999999979"/>
    <n v="0"/>
    <n v="2.9999999999999893"/>
    <n v="27.999999999999901"/>
    <n v="17"/>
    <s v="Evening"/>
    <s v="Peak"/>
    <n v="0.11178571428571468"/>
    <n v="27.156549520766774"/>
    <n v="0.22788203753351208"/>
    <s v="Late"/>
    <s v="No Delay"/>
    <x v="0"/>
  </r>
  <r>
    <s v="O238"/>
    <s v="13:19"/>
    <s v="Normal"/>
    <n v="17"/>
    <s v="13:36"/>
    <s v="13:38"/>
    <d v="1899-12-30T13:39:00"/>
    <s v="14:28"/>
    <n v="7.68"/>
    <s v="R19"/>
    <n v="194"/>
    <n v="126"/>
    <s v="Delivered"/>
    <n v="18"/>
    <s v="Medium"/>
    <s v="No"/>
    <s v="Distance"/>
    <n v="68.999999999999915"/>
    <n v="1.9999999999999929"/>
    <n v="0.99999999999999645"/>
    <n v="48.999999999999986"/>
    <n v="13"/>
    <s v="Afternoon"/>
    <s v="Peak"/>
    <n v="0.15673469387755107"/>
    <n v="16.40625"/>
    <n v="0.64948453608247425"/>
    <s v="Late"/>
    <s v="No Delay"/>
    <x v="1"/>
  </r>
  <r>
    <s v="O239"/>
    <s v="18:22"/>
    <s v="Normal"/>
    <n v="19"/>
    <s v="18:41"/>
    <s v="18:42"/>
    <d v="1899-12-30T18:48:00"/>
    <s v="19:05"/>
    <n v="1.42"/>
    <s v="R15"/>
    <n v="252"/>
    <n v="68"/>
    <s v="Delivered"/>
    <n v="13"/>
    <s v="Medium"/>
    <s v="No"/>
    <s v="None"/>
    <n v="42.999999999999844"/>
    <n v="0.99999999999999645"/>
    <n v="5.9999999999999787"/>
    <n v="16.99999999999994"/>
    <n v="18"/>
    <s v="Peak Night"/>
    <s v="Peak"/>
    <n v="8.3529411764706171E-2"/>
    <n v="47.887323943661976"/>
    <n v="0.26984126984126983"/>
    <s v="On-Time"/>
    <s v="No Delay"/>
    <x v="2"/>
  </r>
  <r>
    <s v="O240"/>
    <s v="12:06"/>
    <s v="Normal"/>
    <n v="12"/>
    <s v="12:18"/>
    <s v="12:20"/>
    <d v="1899-12-30T12:26:00"/>
    <s v="12:43"/>
    <n v="1.92"/>
    <s v="R14"/>
    <n v="330"/>
    <n v="71"/>
    <s v="Delivered"/>
    <n v="13"/>
    <s v="Medium"/>
    <s v="No"/>
    <s v="None"/>
    <n v="37.000000000000028"/>
    <n v="1.9999999999999929"/>
    <n v="5.9999999999999787"/>
    <n v="16.99999999999994"/>
    <n v="12"/>
    <s v="Afternoon"/>
    <s v="Peak"/>
    <n v="0.11294117647058863"/>
    <n v="36.979166666666671"/>
    <n v="0.21515151515151515"/>
    <s v="On-Time"/>
    <s v="No Delay"/>
    <x v="2"/>
  </r>
  <r>
    <s v="O241"/>
    <s v="17:59"/>
    <s v="Normal"/>
    <n v="18"/>
    <s v="18:17"/>
    <s v="18:19"/>
    <d v="1899-12-30T18:22:00"/>
    <s v="18:55"/>
    <n v="4.6399999999999997"/>
    <s v="R7"/>
    <n v="351"/>
    <n v="97"/>
    <s v="Delivered"/>
    <n v="14"/>
    <s v="Medium"/>
    <s v="No"/>
    <s v="None"/>
    <n v="56.000000000000121"/>
    <n v="1.999999999999833"/>
    <n v="2.9999999999999893"/>
    <n v="33.000000000000199"/>
    <n v="17"/>
    <s v="Evening"/>
    <s v="Peak"/>
    <n v="0.14060606060605974"/>
    <n v="20.905172413793103"/>
    <n v="0.27635327635327633"/>
    <s v="Late"/>
    <s v="No Delay"/>
    <x v="0"/>
  </r>
  <r>
    <s v="O242"/>
    <s v="14:49"/>
    <s v="Normal"/>
    <n v="20"/>
    <s v="15:09"/>
    <s v="15:12"/>
    <d v="1899-12-30T15:14:00"/>
    <s v="15:30"/>
    <n v="1.83"/>
    <s v="R6"/>
    <n v="281"/>
    <n v="65"/>
    <s v="Delivered"/>
    <n v="15"/>
    <s v="Low"/>
    <s v="No"/>
    <s v="None"/>
    <n v="41.000000000000014"/>
    <n v="2.9999999999999893"/>
    <n v="1.9999999999999929"/>
    <n v="16.000000000000103"/>
    <n v="14"/>
    <s v="Afternoon"/>
    <s v="Off-Peak"/>
    <n v="0.11437499999999927"/>
    <n v="35.519125683060111"/>
    <n v="0.23131672597864769"/>
    <s v="On-Time"/>
    <s v="No Delay"/>
    <x v="2"/>
  </r>
  <r>
    <s v="O243"/>
    <s v="17:30"/>
    <s v="Normal"/>
    <n v="18"/>
    <s v="17:48"/>
    <s v="17:48"/>
    <d v="1899-12-30T17:52:00"/>
    <s v="18:36"/>
    <n v="6.85"/>
    <s v="R4"/>
    <n v="177"/>
    <n v="120"/>
    <s v="Delivered"/>
    <n v="15"/>
    <s v="Medium"/>
    <s v="No"/>
    <s v="Distance"/>
    <n v="66.000000000000085"/>
    <n v="0"/>
    <n v="3.9999999999999858"/>
    <n v="44"/>
    <n v="17"/>
    <s v="Evening"/>
    <s v="Peak"/>
    <n v="0.15568181818181817"/>
    <n v="17.518248175182482"/>
    <n v="0.67796610169491522"/>
    <s v="Late"/>
    <s v="No Delay"/>
    <x v="1"/>
  </r>
  <r>
    <s v="O244"/>
    <s v="19:11"/>
    <s v="Normal"/>
    <n v="17"/>
    <s v="19:28"/>
    <s v="19:28"/>
    <d v="1899-12-30T19:40:00"/>
    <s v="20:08"/>
    <n v="4.33"/>
    <s v="R19"/>
    <n v="392"/>
    <n v="100"/>
    <s v="Delivered"/>
    <n v="11"/>
    <s v="High"/>
    <s v="No"/>
    <s v="Traffic"/>
    <n v="56.999999999999957"/>
    <n v="0"/>
    <n v="11.999999999999957"/>
    <n v="28.00000000000022"/>
    <n v="19"/>
    <s v="Peak Night"/>
    <s v="Peak"/>
    <n v="0.15464285714285592"/>
    <n v="23.094688221709006"/>
    <n v="0.25510204081632654"/>
    <s v="Late"/>
    <s v="No Delay"/>
    <x v="0"/>
  </r>
  <r>
    <s v="O245"/>
    <s v="17:40"/>
    <s v="Normal"/>
    <n v="14"/>
    <s v="17:54"/>
    <s v="17:56"/>
    <d v="1899-12-30T18:00:00"/>
    <s v="18:43"/>
    <n v="6.89"/>
    <s v="R1"/>
    <n v="348"/>
    <n v="119"/>
    <s v="Delivered"/>
    <n v="14"/>
    <s v="Medium"/>
    <s v="No"/>
    <s v="Distance"/>
    <n v="62.999999999999773"/>
    <n v="2.0000000000001528"/>
    <n v="3.9999999999999858"/>
    <n v="42.999999999999844"/>
    <n v="17"/>
    <s v="Evening"/>
    <s v="Peak"/>
    <n v="0.16023255813953546"/>
    <n v="17.271407837445572"/>
    <n v="0.34195402298850575"/>
    <s v="Late"/>
    <s v="No Delay"/>
    <x v="1"/>
  </r>
  <r>
    <s v="O246"/>
    <s v="19:29"/>
    <s v="Bulk"/>
    <n v="27"/>
    <s v="19:56"/>
    <s v="20:03"/>
    <d v="1899-12-30T20:15:00"/>
    <s v="20:43"/>
    <n v="4.12"/>
    <s v="R4"/>
    <n v="377"/>
    <n v="99"/>
    <s v="Delivered"/>
    <n v="12"/>
    <s v="High"/>
    <s v="No"/>
    <s v="Traffic"/>
    <n v="73.999999999999901"/>
    <n v="6.9999999999999751"/>
    <n v="11.999999999999957"/>
    <n v="27.999999999999901"/>
    <n v="19"/>
    <s v="Peak Night"/>
    <s v="Peak"/>
    <n v="0.14714285714285766"/>
    <n v="24.029126213592232"/>
    <n v="0.2625994694960212"/>
    <s v="Late"/>
    <s v="No Delay"/>
    <x v="0"/>
  </r>
  <r>
    <s v="O247"/>
    <s v="16:37"/>
    <s v="Bulk"/>
    <n v="39"/>
    <s v="17:16"/>
    <s v="17:25"/>
    <d v="1899-12-30T17:29:00"/>
    <s v="17:56"/>
    <n v="4.26"/>
    <s v="R18"/>
    <n v="252"/>
    <n v="90"/>
    <s v="Delivered"/>
    <n v="17"/>
    <s v="Low"/>
    <s v="No"/>
    <s v="Restaurant Delay"/>
    <n v="79.000000000000043"/>
    <n v="9.0000000000001279"/>
    <n v="3.9999999999999858"/>
    <n v="26.999999999999904"/>
    <n v="16"/>
    <s v="Evening"/>
    <s v="Off-Peak"/>
    <n v="0.15777777777777832"/>
    <n v="21.126760563380284"/>
    <n v="0.35714285714285715"/>
    <s v="Late"/>
    <s v="No Delay"/>
    <x v="0"/>
  </r>
  <r>
    <s v="O248"/>
    <s v="17:17"/>
    <s v="Normal"/>
    <n v="19"/>
    <s v="17:36"/>
    <s v="17:38"/>
    <d v="1899-12-30T17:43:00"/>
    <s v="18:15"/>
    <n v="4.54"/>
    <s v="R5"/>
    <n v="398"/>
    <n v="98"/>
    <s v="Delivered"/>
    <n v="17"/>
    <s v="Medium"/>
    <s v="No"/>
    <s v="None"/>
    <n v="57.999999999999794"/>
    <n v="1.999999999999833"/>
    <n v="4.9999999999999822"/>
    <n v="32.000000000000043"/>
    <n v="17"/>
    <s v="Evening"/>
    <s v="Peak"/>
    <n v="0.14187499999999981"/>
    <n v="21.58590308370044"/>
    <n v="0.24623115577889448"/>
    <s v="Late"/>
    <s v="No Delay"/>
    <x v="0"/>
  </r>
  <r>
    <s v="O249"/>
    <s v="13:18"/>
    <s v="Normal"/>
    <n v="13"/>
    <s v="13:31"/>
    <s v="13:31"/>
    <d v="1899-12-30T13:34:00"/>
    <s v="14:23"/>
    <n v="7.14"/>
    <s v="R2"/>
    <n v="258"/>
    <n v="126"/>
    <s v="Delivered"/>
    <n v="15"/>
    <s v="Medium"/>
    <s v="No"/>
    <s v="Distance"/>
    <n v="64.999999999999929"/>
    <n v="0"/>
    <n v="2.9999999999999893"/>
    <n v="48.999999999999986"/>
    <n v="13"/>
    <s v="Afternoon"/>
    <s v="Peak"/>
    <n v="0.14571428571428574"/>
    <n v="17.647058823529413"/>
    <n v="0.48837209302325579"/>
    <s v="Late"/>
    <s v="No Delay"/>
    <x v="1"/>
  </r>
  <r>
    <s v="O250"/>
    <s v="17:44"/>
    <s v="Normal"/>
    <n v="15"/>
    <s v="17:59"/>
    <s v="18:02"/>
    <d v="1899-12-30T18:05:00"/>
    <s v="18:53"/>
    <n v="7.56"/>
    <s v="R15"/>
    <n v="333"/>
    <n v="127"/>
    <s v="Failed"/>
    <n v="16"/>
    <s v="Medium"/>
    <s v="Yes"/>
    <s v="Restaurant Delay"/>
    <n v="68.999999999999915"/>
    <n v="3.0000000000001492"/>
    <n v="2.9999999999999893"/>
    <n v="47.999999999999829"/>
    <n v="17"/>
    <s v="Evening"/>
    <s v="Peak"/>
    <n v="0.15750000000000056"/>
    <n v="16.798941798941801"/>
    <n v="0.38138138138138139"/>
    <s v="Late"/>
    <s v="Restaurant Delay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istance">
  <location ref="A83:D87" firstHeaderRow="0" firstDataRow="1" firstDataCol="1"/>
  <pivotFields count="30">
    <pivotField dataField="1" showAll="0"/>
    <pivotField showAll="0"/>
    <pivotField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2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Total Time" fld="17" subtotal="average" baseField="29" baseItem="0" numFmtId="164"/>
    <dataField name="Avg Transit Time" fld="20" subtotal="average" baseField="29" baseItem="0" numFmtId="164"/>
    <dataField name="Order Count" fld="0" subtotal="count" baseField="29" baseItem="0"/>
  </dataFields>
  <formats count="7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9" type="button" dataOnly="0" labelOnly="1" outline="0" axis="axisRow" fieldPosition="0"/>
    </format>
    <format dxfId="15">
      <pivotArea dataOnly="0" labelOnly="1" fieldPosition="0">
        <references count="1">
          <reference field="29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our">
  <location ref="A67:D79" firstHeaderRow="0" firstDataRow="1" firstDataCol="1"/>
  <pivotFields count="29">
    <pivotField dataField="1" showAll="0"/>
    <pivotField showAll="0"/>
    <pivotField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2">
        <item x="9"/>
        <item x="1"/>
        <item x="0"/>
        <item x="6"/>
        <item x="8"/>
        <item x="7"/>
        <item x="5"/>
        <item x="2"/>
        <item x="3"/>
        <item x="4"/>
        <item x="10"/>
        <item t="default"/>
      </items>
    </pivotField>
    <pivotField showAll="0"/>
    <pivotField showAll="0"/>
    <pivotField numFmtId="2" showAll="0"/>
    <pivotField numFmtId="2" showAll="0"/>
    <pivotField numFmtId="2" showAll="0"/>
    <pivotField showAll="0"/>
    <pivotField showAll="0"/>
  </pivotFields>
  <rowFields count="1">
    <field x="2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 Count" fld="0" subtotal="count" baseField="21" baseItem="0"/>
    <dataField name="Avg Delivery Time" fld="17" subtotal="average" baseField="21" baseItem="0" numFmtId="164"/>
    <dataField name="Avg Rider Availability" fld="13" subtotal="average" baseField="21" baseItem="0" numFmtId="164"/>
  </dataFields>
  <formats count="10"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21" type="button" dataOnly="0" labelOnly="1" outline="0" axis="axisRow" fieldPosition="0"/>
    </format>
    <format dxfId="23">
      <pivotArea dataOnly="0" labelOnly="1" fieldPosition="0">
        <references count="1">
          <reference field="21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">
      <pivotArea outline="0" collapsedLevelsAreSubtotals="1" fieldPosition="0"/>
    </format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ider_ID">
  <location ref="A42:E63" firstHeaderRow="0" firstDataRow="1" firstDataCol="1"/>
  <pivotFields count="29">
    <pivotField dataField="1" showAll="0"/>
    <pivotField showAll="0"/>
    <pivotField showAll="0"/>
    <pivotField showAll="0"/>
    <pivotField showAll="0"/>
    <pivotField showAll="0"/>
    <pivotField numFmtId="20" showAll="0"/>
    <pivotField showAll="0"/>
    <pivotField showAll="0"/>
    <pivotField axis="axisRow" showAll="0" sortType="ascending">
      <items count="21">
        <item x="17"/>
        <item x="2"/>
        <item x="18"/>
        <item x="4"/>
        <item x="5"/>
        <item x="12"/>
        <item x="15"/>
        <item x="3"/>
        <item x="6"/>
        <item x="7"/>
        <item x="11"/>
        <item x="10"/>
        <item x="8"/>
        <item x="14"/>
        <item x="13"/>
        <item x="9"/>
        <item x="19"/>
        <item x="0"/>
        <item x="1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dataField="1" numFmtId="2" showAll="0"/>
    <pivotField numFmtId="2" showAll="0"/>
    <pivotField numFmtId="2" showAll="0"/>
    <pivotField showAll="0"/>
    <pivotField showAll="0"/>
  </pivotFields>
  <rowFields count="1">
    <field x="9"/>
  </rowFields>
  <rowItems count="21">
    <i>
      <x v="5"/>
    </i>
    <i>
      <x v="11"/>
    </i>
    <i>
      <x v="15"/>
    </i>
    <i>
      <x v="16"/>
    </i>
    <i>
      <x v="8"/>
    </i>
    <i>
      <x v="3"/>
    </i>
    <i>
      <x v="17"/>
    </i>
    <i>
      <x/>
    </i>
    <i>
      <x v="1"/>
    </i>
    <i>
      <x v="14"/>
    </i>
    <i>
      <x v="10"/>
    </i>
    <i>
      <x v="6"/>
    </i>
    <i>
      <x v="13"/>
    </i>
    <i>
      <x v="19"/>
    </i>
    <i>
      <x v="12"/>
    </i>
    <i>
      <x v="9"/>
    </i>
    <i>
      <x v="18"/>
    </i>
    <i>
      <x v="4"/>
    </i>
    <i>
      <x v="7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Transit" fld="20" subtotal="average" baseField="9" baseItem="0" numFmtId="164"/>
    <dataField name="Avg Total Time" fld="17" subtotal="average" baseField="9" baseItem="0" numFmtId="164"/>
    <dataField name="Avg Speed" fld="24" subtotal="average" baseField="9" baseItem="0" numFmtId="164"/>
    <dataField name="Orders Handled" fld="0" subtotal="count" baseField="9" baseItem="0"/>
  </dataFields>
  <formats count="11">
    <format dxfId="3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9" type="button" dataOnly="0" labelOnly="1" outline="0" axis="axisRow" fieldPosition="0"/>
    </format>
    <format dxfId="35">
      <pivotArea dataOnly="0" labelOnly="1" fieldPosition="0">
        <references count="1">
          <reference field="9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">
      <pivotArea collapsedLevelsAreSubtotals="1" fieldPosition="0">
        <references count="1">
          <reference field="9" count="0"/>
        </references>
      </pivotArea>
    </format>
    <format dxfId="31">
      <pivotArea collapsedLevelsAreSubtotals="1" fieldPosition="0">
        <references count="1">
          <reference field="9" count="0"/>
        </references>
      </pivotArea>
    </format>
    <format dxfId="30">
      <pivotArea grandRow="1" outline="0" collapsedLevelsAreSubtotals="1" fieldPosition="0"/>
    </format>
    <format dxfId="2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raffic Level">
  <location ref="A24:E28" firstHeaderRow="0" firstDataRow="1" firstDataCol="1"/>
  <pivotFields count="29">
    <pivotField dataField="1" showAll="0"/>
    <pivotField showAll="0"/>
    <pivotField showAll="0"/>
    <pivotField showAll="0"/>
    <pivotField showAll="0"/>
    <pivotField showAll="0"/>
    <pivotField numFmtId="20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Transit Time" fld="20" subtotal="average" baseField="14" baseItem="0" numFmtId="164"/>
    <dataField name="Avg Total Time" fld="17" subtotal="average" baseField="14" baseItem="0" numFmtId="164"/>
    <dataField name="Avg Distance km" fld="8" subtotal="average" baseField="14" baseItem="0" numFmtId="164"/>
    <dataField name="Order Count" fld="0" subtotal="count" baseField="14" baseItem="0"/>
  </dataFields>
  <formats count="9">
    <format dxfId="48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4" type="button" dataOnly="0" labelOnly="1" outline="0" axis="axisRow" fieldPosition="0"/>
    </format>
    <format dxfId="44">
      <pivotArea dataOnly="0" labelOnly="1" fieldPosition="0">
        <references count="1">
          <reference field="14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1">
      <pivotArea outline="0" collapsedLevelsAreSubtotals="1" fieldPosition="0"/>
    </format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Order Type">
  <location ref="A17:E20" firstHeaderRow="0" firstDataRow="1" firstDataCol="1"/>
  <pivotFields count="29">
    <pivotField dataField="1"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Prep Time" fld="3" subtotal="average" baseField="2" baseItem="0"/>
    <dataField name="Avg Total Time" fld="17" subtotal="average" baseField="2" baseItem="0"/>
    <dataField name="Avg Transit Time" fld="20" subtotal="average" baseField="2" baseItem="0"/>
    <dataField name="Order Count" fld="0" subtotal="count" baseField="2" baseItem="0"/>
  </dataFields>
  <formats count="12">
    <format dxfId="0">
      <pivotArea collapsedLevelsAreSubtotals="1" fieldPosition="0">
        <references count="2">
          <reference field="4294967294" count="2" selected="0">
            <x v="1"/>
            <x v="2"/>
          </reference>
          <reference field="2" count="0"/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2" count="1">
            <x v="1"/>
          </reference>
        </references>
      </pivotArea>
    </format>
    <format dxfId="2">
      <pivotArea field="2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">
      <pivotArea outline="0" collapsedLevelsAreSubtotals="1" fieldPosition="0"/>
    </format>
    <format dxfId="4">
      <pivotArea outline="0" collapsedLevelsAreSubtotals="1" fieldPosition="0"/>
    </format>
    <format dxfId="5">
      <pivotArea outline="0" collapsedLevelsAreSubtotals="1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 rowHeaderCaption="Time Period">
  <location ref="A10:C13" firstHeaderRow="0" firstDataRow="1" firstDataCol="1"/>
  <pivotFields count="29">
    <pivotField dataField="1" showAll="0"/>
    <pivotField showAll="0"/>
    <pivotField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2" showAll="0"/>
    <pivotField numFmtId="2" showAll="0"/>
    <pivotField numFmtId="2"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g Delivery Time (min)" fld="17" subtotal="average" baseField="23" baseItem="0" numFmtId="164"/>
    <dataField name="Order Count" fld="0" subtotal="count" baseField="23" baseItem="0"/>
  </dataFields>
  <formats count="18"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5">
      <pivotArea outline="0" collapsedLevelsAreSubtotals="1" fieldPosition="0"/>
    </format>
    <format dxfId="64">
      <pivotArea outline="0" collapsedLevelsAreSubtotals="1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23" type="button" dataOnly="0" labelOnly="1" outline="0" axis="axisRow" fieldPosition="0"/>
    </format>
    <format dxfId="60">
      <pivotArea dataOnly="0" labelOnly="1" fieldPosition="0">
        <references count="1">
          <reference field="23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field="2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6">
      <pivotArea collapsedLevelsAreSubtotals="1" fieldPosition="0">
        <references count="1">
          <reference field="23" count="0"/>
        </references>
      </pivotArea>
    </format>
    <format dxfId="55">
      <pivotArea dataOnly="0" labelOnly="1" fieldPosition="0">
        <references count="1">
          <reference field="23" count="0"/>
        </references>
      </pivotArea>
    </format>
    <format dxfId="54">
      <pivotArea collapsedLevelsAreSubtotals="1" fieldPosition="0">
        <references count="1">
          <reference field="23" count="0"/>
        </references>
      </pivotArea>
    </format>
    <format dxfId="53">
      <pivotArea dataOnly="0" labelOnly="1" fieldPosition="0">
        <references count="1">
          <reference field="23" count="0"/>
        </references>
      </pivotArea>
    </format>
    <format dxfId="52">
      <pivotArea collapsedLevelsAreSubtotals="1" fieldPosition="0">
        <references count="1">
          <reference field="23" count="0"/>
        </references>
      </pivotArea>
    </format>
    <format dxfId="51">
      <pivotArea dataOnly="0" labelOnly="1" fieldPosition="0">
        <references count="1">
          <reference field="23" count="0"/>
        </references>
      </pivotArea>
    </format>
    <format dxfId="50">
      <pivotArea collapsedLevelsAreSubtotals="1" fieldPosition="0">
        <references count="1">
          <reference field="23" count="0"/>
        </references>
      </pivotArea>
    </format>
    <format dxfId="49">
      <pivotArea dataOnly="0" labelOnly="1" fieldPosition="0">
        <references count="1">
          <reference field="2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1"/>
  <sheetViews>
    <sheetView zoomScale="84" workbookViewId="0">
      <selection activeCell="I35" sqref="I35"/>
    </sheetView>
  </sheetViews>
  <sheetFormatPr defaultRowHeight="14.4" x14ac:dyDescent="0.3"/>
  <cols>
    <col min="1" max="1" width="11.33203125" style="1" customWidth="1"/>
    <col min="2" max="2" width="17.109375" style="2" customWidth="1"/>
    <col min="3" max="3" width="14.33203125" style="1" customWidth="1"/>
    <col min="4" max="4" width="16.33203125" style="1" customWidth="1"/>
    <col min="5" max="5" width="21.109375" style="2" customWidth="1"/>
    <col min="6" max="6" width="22.44140625" style="2" customWidth="1"/>
    <col min="7" max="7" width="15" style="3" customWidth="1"/>
    <col min="8" max="8" width="18.5546875" style="2" customWidth="1"/>
    <col min="9" max="9" width="14.21875" style="1" customWidth="1"/>
    <col min="10" max="10" width="13.5546875" style="1" customWidth="1"/>
    <col min="11" max="11" width="15.33203125" style="1" customWidth="1"/>
    <col min="12" max="13" width="16.88671875" style="1" customWidth="1"/>
    <col min="14" max="14" width="21.33203125" style="1" customWidth="1"/>
    <col min="15" max="15" width="16.5546875" style="1" customWidth="1"/>
    <col min="16" max="16" width="18.88671875" style="1" customWidth="1"/>
    <col min="17" max="17" width="22.33203125" customWidth="1"/>
  </cols>
  <sheetData>
    <row r="1" spans="1:17" x14ac:dyDescent="0.3">
      <c r="A1" s="4" t="s">
        <v>0</v>
      </c>
      <c r="B1" s="5" t="s">
        <v>1</v>
      </c>
      <c r="C1" s="5" t="s">
        <v>593</v>
      </c>
      <c r="D1" s="5" t="s">
        <v>2</v>
      </c>
      <c r="E1" s="5" t="s">
        <v>3</v>
      </c>
      <c r="F1" s="5" t="s">
        <v>4</v>
      </c>
      <c r="G1" s="6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7" t="s">
        <v>15</v>
      </c>
    </row>
    <row r="2" spans="1:17" x14ac:dyDescent="0.3">
      <c r="A2" s="8" t="s">
        <v>16</v>
      </c>
      <c r="B2" s="9" t="s">
        <v>682</v>
      </c>
      <c r="C2" s="9" t="s">
        <v>597</v>
      </c>
      <c r="D2" s="9">
        <v>11</v>
      </c>
      <c r="E2" s="9" t="s">
        <v>683</v>
      </c>
      <c r="F2" s="9" t="s">
        <v>20</v>
      </c>
      <c r="G2" s="10">
        <v>0.52361111111111114</v>
      </c>
      <c r="H2" s="9" t="s">
        <v>640</v>
      </c>
      <c r="I2" s="9">
        <v>4.47</v>
      </c>
      <c r="J2" s="9" t="s">
        <v>45</v>
      </c>
      <c r="K2" s="9">
        <v>247</v>
      </c>
      <c r="L2" s="9">
        <v>94</v>
      </c>
      <c r="M2" s="9" t="s">
        <v>22</v>
      </c>
      <c r="N2" s="9">
        <v>14</v>
      </c>
      <c r="O2" s="9" t="s">
        <v>23</v>
      </c>
      <c r="P2" s="9" t="s">
        <v>24</v>
      </c>
      <c r="Q2" s="11" t="str">
        <f>IF(M2="Failed",
IF(O2="High","Traffic",
IF(N2&lt;10,"No Rider","Restaurant Delay")),
IF(((H2-B2)*1440 - (D2 + I2*5))&lt;=7,"None",
IF(O2="High","Traffic",
IF(N2&lt;10,"No Rider",
IF(C2="Bulk","Restaurant Delay",
IF(I2&gt;=6,"Distance","None"))))))</f>
        <v>None</v>
      </c>
    </row>
    <row r="3" spans="1:17" x14ac:dyDescent="0.3">
      <c r="A3" s="8" t="s">
        <v>25</v>
      </c>
      <c r="B3" s="9" t="s">
        <v>452</v>
      </c>
      <c r="C3" s="9" t="s">
        <v>597</v>
      </c>
      <c r="D3" s="9">
        <v>16</v>
      </c>
      <c r="E3" s="9" t="s">
        <v>117</v>
      </c>
      <c r="F3" s="9" t="s">
        <v>117</v>
      </c>
      <c r="G3" s="10">
        <v>0.49861111111111112</v>
      </c>
      <c r="H3" s="9" t="s">
        <v>380</v>
      </c>
      <c r="I3" s="9">
        <v>6.34</v>
      </c>
      <c r="J3" s="9" t="s">
        <v>160</v>
      </c>
      <c r="K3" s="9">
        <v>218</v>
      </c>
      <c r="L3" s="9">
        <v>117</v>
      </c>
      <c r="M3" s="9" t="s">
        <v>22</v>
      </c>
      <c r="N3" s="9">
        <v>15</v>
      </c>
      <c r="O3" s="9" t="s">
        <v>23</v>
      </c>
      <c r="P3" s="9" t="s">
        <v>24</v>
      </c>
      <c r="Q3" s="11" t="str">
        <f t="shared" ref="Q3:Q66" si="0">IF(M3="Failed",
IF(O3="High","Traffic",
IF(N3&lt;10,"No Rider","Restaurant Delay")),
IF(((H3-B3)*1440 - (D3 + I3*5))&lt;=7,"None",
IF(O3="High","Traffic",
IF(N3&lt;10,"No Rider",
IF(C3="Bulk","Restaurant Delay",
IF(I3&gt;=6,"Distance","None"))))))</f>
        <v>Distance</v>
      </c>
    </row>
    <row r="4" spans="1:17" x14ac:dyDescent="0.3">
      <c r="A4" s="8" t="s">
        <v>29</v>
      </c>
      <c r="B4" s="9" t="s">
        <v>605</v>
      </c>
      <c r="C4" s="9" t="s">
        <v>597</v>
      </c>
      <c r="D4" s="9">
        <v>10</v>
      </c>
      <c r="E4" s="9" t="s">
        <v>17</v>
      </c>
      <c r="F4" s="9" t="s">
        <v>17</v>
      </c>
      <c r="G4" s="10">
        <v>0.49722222222222223</v>
      </c>
      <c r="H4" s="9" t="s">
        <v>106</v>
      </c>
      <c r="I4" s="9">
        <v>5.55</v>
      </c>
      <c r="J4" s="9" t="s">
        <v>45</v>
      </c>
      <c r="K4" s="9">
        <v>247</v>
      </c>
      <c r="L4" s="9">
        <v>105</v>
      </c>
      <c r="M4" s="9" t="s">
        <v>22</v>
      </c>
      <c r="N4" s="9">
        <v>12</v>
      </c>
      <c r="O4" s="9" t="s">
        <v>23</v>
      </c>
      <c r="P4" s="9" t="s">
        <v>24</v>
      </c>
      <c r="Q4" s="11" t="str">
        <f t="shared" si="0"/>
        <v>None</v>
      </c>
    </row>
    <row r="5" spans="1:17" x14ac:dyDescent="0.3">
      <c r="A5" s="8" t="s">
        <v>35</v>
      </c>
      <c r="B5" s="9" t="s">
        <v>36</v>
      </c>
      <c r="C5" s="9" t="s">
        <v>597</v>
      </c>
      <c r="D5" s="9">
        <v>18</v>
      </c>
      <c r="E5" s="9" t="s">
        <v>313</v>
      </c>
      <c r="F5" s="9" t="s">
        <v>422</v>
      </c>
      <c r="G5" s="10">
        <v>0.73055555555555551</v>
      </c>
      <c r="H5" s="9" t="s">
        <v>337</v>
      </c>
      <c r="I5" s="9">
        <v>7.57</v>
      </c>
      <c r="J5" s="9" t="s">
        <v>160</v>
      </c>
      <c r="K5" s="9">
        <v>323</v>
      </c>
      <c r="L5" s="9">
        <v>128</v>
      </c>
      <c r="M5" s="9" t="s">
        <v>22</v>
      </c>
      <c r="N5" s="9">
        <v>13</v>
      </c>
      <c r="O5" s="9" t="s">
        <v>23</v>
      </c>
      <c r="P5" s="9" t="s">
        <v>24</v>
      </c>
      <c r="Q5" s="11" t="str">
        <f t="shared" si="0"/>
        <v>Distance</v>
      </c>
    </row>
    <row r="6" spans="1:17" x14ac:dyDescent="0.3">
      <c r="A6" s="8" t="s">
        <v>41</v>
      </c>
      <c r="B6" s="9" t="s">
        <v>656</v>
      </c>
      <c r="C6" s="9" t="s">
        <v>597</v>
      </c>
      <c r="D6" s="9">
        <v>10</v>
      </c>
      <c r="E6" s="9" t="s">
        <v>540</v>
      </c>
      <c r="F6" s="9" t="s">
        <v>540</v>
      </c>
      <c r="G6" s="10">
        <v>0.75069444444444444</v>
      </c>
      <c r="H6" s="9" t="s">
        <v>146</v>
      </c>
      <c r="I6" s="9">
        <v>7.46</v>
      </c>
      <c r="J6" s="9" t="s">
        <v>211</v>
      </c>
      <c r="K6" s="9">
        <v>335</v>
      </c>
      <c r="L6" s="9">
        <v>128</v>
      </c>
      <c r="M6" s="9" t="s">
        <v>22</v>
      </c>
      <c r="N6" s="9">
        <v>15</v>
      </c>
      <c r="O6" s="9" t="s">
        <v>23</v>
      </c>
      <c r="P6" s="9" t="s">
        <v>24</v>
      </c>
      <c r="Q6" s="11" t="str">
        <f t="shared" si="0"/>
        <v>Distance</v>
      </c>
    </row>
    <row r="7" spans="1:17" x14ac:dyDescent="0.3">
      <c r="A7" s="8" t="s">
        <v>44</v>
      </c>
      <c r="B7" s="9" t="s">
        <v>277</v>
      </c>
      <c r="C7" s="9" t="s">
        <v>597</v>
      </c>
      <c r="D7" s="9">
        <v>18</v>
      </c>
      <c r="E7" s="9" t="s">
        <v>352</v>
      </c>
      <c r="F7" s="9" t="s">
        <v>278</v>
      </c>
      <c r="G7" s="10">
        <v>0.5180555555555556</v>
      </c>
      <c r="H7" s="9" t="s">
        <v>621</v>
      </c>
      <c r="I7" s="9">
        <v>6.81</v>
      </c>
      <c r="J7" s="9" t="s">
        <v>122</v>
      </c>
      <c r="K7" s="9">
        <v>300</v>
      </c>
      <c r="L7" s="9">
        <v>122</v>
      </c>
      <c r="M7" s="9" t="s">
        <v>22</v>
      </c>
      <c r="N7" s="9">
        <v>15</v>
      </c>
      <c r="O7" s="9" t="s">
        <v>23</v>
      </c>
      <c r="P7" s="9" t="s">
        <v>24</v>
      </c>
      <c r="Q7" s="11" t="str">
        <f t="shared" si="0"/>
        <v>Distance</v>
      </c>
    </row>
    <row r="8" spans="1:17" x14ac:dyDescent="0.3">
      <c r="A8" s="8" t="s">
        <v>46</v>
      </c>
      <c r="B8" s="9" t="s">
        <v>168</v>
      </c>
      <c r="C8" s="9" t="s">
        <v>597</v>
      </c>
      <c r="D8" s="9">
        <v>10</v>
      </c>
      <c r="E8" s="9" t="s">
        <v>536</v>
      </c>
      <c r="F8" s="9" t="s">
        <v>606</v>
      </c>
      <c r="G8" s="10">
        <v>0.78888888888888886</v>
      </c>
      <c r="H8" s="9" t="s">
        <v>30</v>
      </c>
      <c r="I8" s="9">
        <v>6.21</v>
      </c>
      <c r="J8" s="9" t="s">
        <v>177</v>
      </c>
      <c r="K8" s="9">
        <v>194</v>
      </c>
      <c r="L8" s="9">
        <v>113</v>
      </c>
      <c r="M8" s="9" t="s">
        <v>22</v>
      </c>
      <c r="N8" s="9">
        <v>15</v>
      </c>
      <c r="O8" s="9" t="s">
        <v>23</v>
      </c>
      <c r="P8" s="9" t="s">
        <v>24</v>
      </c>
      <c r="Q8" s="11" t="str">
        <f t="shared" si="0"/>
        <v>Distance</v>
      </c>
    </row>
    <row r="9" spans="1:17" x14ac:dyDescent="0.3">
      <c r="A9" s="8" t="s">
        <v>50</v>
      </c>
      <c r="B9" s="9" t="s">
        <v>396</v>
      </c>
      <c r="C9" s="9" t="s">
        <v>597</v>
      </c>
      <c r="D9" s="9">
        <v>20</v>
      </c>
      <c r="E9" s="9" t="s">
        <v>684</v>
      </c>
      <c r="F9" s="9" t="s">
        <v>684</v>
      </c>
      <c r="G9" s="10">
        <v>0.82708333333333328</v>
      </c>
      <c r="H9" s="9" t="s">
        <v>141</v>
      </c>
      <c r="I9" s="9">
        <v>4.07</v>
      </c>
      <c r="J9" s="9" t="s">
        <v>40</v>
      </c>
      <c r="K9" s="9">
        <v>283</v>
      </c>
      <c r="L9" s="9">
        <v>96</v>
      </c>
      <c r="M9" s="9" t="s">
        <v>22</v>
      </c>
      <c r="N9" s="9">
        <v>10</v>
      </c>
      <c r="O9" s="9" t="s">
        <v>34</v>
      </c>
      <c r="P9" s="9" t="s">
        <v>24</v>
      </c>
      <c r="Q9" s="11" t="str">
        <f t="shared" si="0"/>
        <v>Traffic</v>
      </c>
    </row>
    <row r="10" spans="1:17" x14ac:dyDescent="0.3">
      <c r="A10" s="8" t="s">
        <v>56</v>
      </c>
      <c r="B10" s="9" t="s">
        <v>84</v>
      </c>
      <c r="C10" s="9" t="s">
        <v>597</v>
      </c>
      <c r="D10" s="9">
        <v>10</v>
      </c>
      <c r="E10" s="9" t="s">
        <v>51</v>
      </c>
      <c r="F10" s="9" t="s">
        <v>98</v>
      </c>
      <c r="G10" s="10">
        <v>0.6923611111111112</v>
      </c>
      <c r="H10" s="9" t="s">
        <v>486</v>
      </c>
      <c r="I10" s="9">
        <v>3.16</v>
      </c>
      <c r="J10" s="9" t="s">
        <v>118</v>
      </c>
      <c r="K10" s="9">
        <v>193</v>
      </c>
      <c r="L10" s="9">
        <v>76</v>
      </c>
      <c r="M10" s="9" t="s">
        <v>22</v>
      </c>
      <c r="N10" s="9">
        <v>18</v>
      </c>
      <c r="O10" s="9" t="s">
        <v>55</v>
      </c>
      <c r="P10" s="9" t="s">
        <v>24</v>
      </c>
      <c r="Q10" s="11" t="str">
        <f t="shared" si="0"/>
        <v>None</v>
      </c>
    </row>
    <row r="11" spans="1:17" x14ac:dyDescent="0.3">
      <c r="A11" s="8" t="s">
        <v>60</v>
      </c>
      <c r="B11" s="9" t="s">
        <v>611</v>
      </c>
      <c r="C11" s="9" t="s">
        <v>597</v>
      </c>
      <c r="D11" s="9">
        <v>13</v>
      </c>
      <c r="E11" s="9" t="s">
        <v>226</v>
      </c>
      <c r="F11" s="9" t="s">
        <v>299</v>
      </c>
      <c r="G11" s="10">
        <v>0.58888888888888891</v>
      </c>
      <c r="H11" s="9" t="s">
        <v>234</v>
      </c>
      <c r="I11" s="9">
        <v>2.63</v>
      </c>
      <c r="J11" s="9" t="s">
        <v>177</v>
      </c>
      <c r="K11" s="9">
        <v>297</v>
      </c>
      <c r="L11" s="9">
        <v>80</v>
      </c>
      <c r="M11" s="9" t="s">
        <v>22</v>
      </c>
      <c r="N11" s="9">
        <v>16</v>
      </c>
      <c r="O11" s="9" t="s">
        <v>23</v>
      </c>
      <c r="P11" s="9" t="s">
        <v>24</v>
      </c>
      <c r="Q11" s="11" t="str">
        <f t="shared" si="0"/>
        <v>None</v>
      </c>
    </row>
    <row r="12" spans="1:17" x14ac:dyDescent="0.3">
      <c r="A12" s="8" t="s">
        <v>63</v>
      </c>
      <c r="B12" s="9" t="s">
        <v>656</v>
      </c>
      <c r="C12" s="9" t="s">
        <v>597</v>
      </c>
      <c r="D12" s="9">
        <v>20</v>
      </c>
      <c r="E12" s="9" t="s">
        <v>686</v>
      </c>
      <c r="F12" s="9" t="s">
        <v>686</v>
      </c>
      <c r="G12" s="10">
        <v>0.76111111111111118</v>
      </c>
      <c r="H12" s="9" t="s">
        <v>687</v>
      </c>
      <c r="I12" s="9">
        <v>7.7</v>
      </c>
      <c r="J12" s="9" t="s">
        <v>118</v>
      </c>
      <c r="K12" s="9">
        <v>369</v>
      </c>
      <c r="L12" s="9">
        <v>131</v>
      </c>
      <c r="M12" s="9" t="s">
        <v>22</v>
      </c>
      <c r="N12" s="9">
        <v>16</v>
      </c>
      <c r="O12" s="9" t="s">
        <v>23</v>
      </c>
      <c r="P12" s="9" t="s">
        <v>24</v>
      </c>
      <c r="Q12" s="11" t="str">
        <f t="shared" si="0"/>
        <v>Distance</v>
      </c>
    </row>
    <row r="13" spans="1:17" x14ac:dyDescent="0.3">
      <c r="A13" s="8" t="s">
        <v>66</v>
      </c>
      <c r="B13" s="9" t="s">
        <v>193</v>
      </c>
      <c r="C13" s="9" t="s">
        <v>597</v>
      </c>
      <c r="D13" s="9">
        <v>18</v>
      </c>
      <c r="E13" s="9" t="s">
        <v>610</v>
      </c>
      <c r="F13" s="9" t="s">
        <v>106</v>
      </c>
      <c r="G13" s="10">
        <v>0.52361111111111114</v>
      </c>
      <c r="H13" s="9" t="s">
        <v>643</v>
      </c>
      <c r="I13" s="9">
        <v>7.65</v>
      </c>
      <c r="J13" s="9" t="s">
        <v>21</v>
      </c>
      <c r="K13" s="9">
        <v>295</v>
      </c>
      <c r="L13" s="9">
        <v>129</v>
      </c>
      <c r="M13" s="9" t="s">
        <v>22</v>
      </c>
      <c r="N13" s="9">
        <v>13</v>
      </c>
      <c r="O13" s="9" t="s">
        <v>23</v>
      </c>
      <c r="P13" s="9" t="s">
        <v>24</v>
      </c>
      <c r="Q13" s="11" t="str">
        <f t="shared" si="0"/>
        <v>Distance</v>
      </c>
    </row>
    <row r="14" spans="1:17" x14ac:dyDescent="0.3">
      <c r="A14" s="8" t="s">
        <v>70</v>
      </c>
      <c r="B14" s="9" t="s">
        <v>531</v>
      </c>
      <c r="C14" s="9" t="s">
        <v>597</v>
      </c>
      <c r="D14" s="9">
        <v>16</v>
      </c>
      <c r="E14" s="9" t="s">
        <v>408</v>
      </c>
      <c r="F14" s="9" t="s">
        <v>408</v>
      </c>
      <c r="G14" s="10">
        <v>0.57013888888888886</v>
      </c>
      <c r="H14" s="9" t="s">
        <v>112</v>
      </c>
      <c r="I14" s="9">
        <v>3.9</v>
      </c>
      <c r="J14" s="9" t="s">
        <v>90</v>
      </c>
      <c r="K14" s="9">
        <v>309</v>
      </c>
      <c r="L14" s="9">
        <v>91</v>
      </c>
      <c r="M14" s="9" t="s">
        <v>22</v>
      </c>
      <c r="N14" s="9">
        <v>15</v>
      </c>
      <c r="O14" s="9" t="s">
        <v>23</v>
      </c>
      <c r="P14" s="9" t="s">
        <v>24</v>
      </c>
      <c r="Q14" s="11" t="str">
        <f t="shared" si="0"/>
        <v>None</v>
      </c>
    </row>
    <row r="15" spans="1:17" x14ac:dyDescent="0.3">
      <c r="A15" s="8" t="s">
        <v>72</v>
      </c>
      <c r="B15" s="9" t="s">
        <v>603</v>
      </c>
      <c r="C15" s="9" t="s">
        <v>597</v>
      </c>
      <c r="D15" s="9">
        <v>10</v>
      </c>
      <c r="E15" s="9" t="s">
        <v>689</v>
      </c>
      <c r="F15" s="9" t="s">
        <v>97</v>
      </c>
      <c r="G15" s="10">
        <v>0.66388888888888886</v>
      </c>
      <c r="H15" s="9" t="s">
        <v>469</v>
      </c>
      <c r="I15" s="9">
        <v>2.2400000000000002</v>
      </c>
      <c r="J15" s="9" t="s">
        <v>21</v>
      </c>
      <c r="K15" s="9">
        <v>354</v>
      </c>
      <c r="L15" s="9">
        <v>72</v>
      </c>
      <c r="M15" s="9" t="s">
        <v>22</v>
      </c>
      <c r="N15" s="9">
        <v>16</v>
      </c>
      <c r="O15" s="9" t="s">
        <v>55</v>
      </c>
      <c r="P15" s="9" t="s">
        <v>24</v>
      </c>
      <c r="Q15" s="11" t="str">
        <f t="shared" si="0"/>
        <v>None</v>
      </c>
    </row>
    <row r="16" spans="1:17" x14ac:dyDescent="0.3">
      <c r="A16" s="8" t="s">
        <v>79</v>
      </c>
      <c r="B16" s="9" t="s">
        <v>64</v>
      </c>
      <c r="C16" s="9" t="s">
        <v>594</v>
      </c>
      <c r="D16" s="9">
        <v>27</v>
      </c>
      <c r="E16" s="9" t="s">
        <v>371</v>
      </c>
      <c r="F16" s="9" t="s">
        <v>326</v>
      </c>
      <c r="G16" s="10">
        <v>0.62430555555555556</v>
      </c>
      <c r="H16" s="9" t="s">
        <v>602</v>
      </c>
      <c r="I16" s="9">
        <v>4.17</v>
      </c>
      <c r="J16" s="9" t="s">
        <v>90</v>
      </c>
      <c r="K16" s="9">
        <v>178</v>
      </c>
      <c r="L16" s="9">
        <v>86</v>
      </c>
      <c r="M16" s="9" t="s">
        <v>22</v>
      </c>
      <c r="N16" s="9">
        <v>15</v>
      </c>
      <c r="O16" s="9" t="s">
        <v>55</v>
      </c>
      <c r="P16" s="9" t="s">
        <v>24</v>
      </c>
      <c r="Q16" s="11" t="str">
        <f t="shared" si="0"/>
        <v>Restaurant Delay</v>
      </c>
    </row>
    <row r="17" spans="1:17" x14ac:dyDescent="0.3">
      <c r="A17" s="8" t="s">
        <v>83</v>
      </c>
      <c r="B17" s="9" t="s">
        <v>382</v>
      </c>
      <c r="C17" s="9" t="s">
        <v>597</v>
      </c>
      <c r="D17" s="9">
        <v>11</v>
      </c>
      <c r="E17" s="9" t="s">
        <v>529</v>
      </c>
      <c r="F17" s="9" t="s">
        <v>361</v>
      </c>
      <c r="G17" s="10">
        <v>0.55694444444444446</v>
      </c>
      <c r="H17" s="9" t="s">
        <v>655</v>
      </c>
      <c r="I17" s="9">
        <v>2.79</v>
      </c>
      <c r="J17" s="9" t="s">
        <v>211</v>
      </c>
      <c r="K17" s="9">
        <v>315</v>
      </c>
      <c r="L17" s="9">
        <v>78</v>
      </c>
      <c r="M17" s="9" t="s">
        <v>22</v>
      </c>
      <c r="N17" s="9">
        <v>13</v>
      </c>
      <c r="O17" s="9" t="s">
        <v>23</v>
      </c>
      <c r="P17" s="9" t="s">
        <v>24</v>
      </c>
      <c r="Q17" s="11" t="str">
        <f t="shared" si="0"/>
        <v>None</v>
      </c>
    </row>
    <row r="18" spans="1:17" x14ac:dyDescent="0.3">
      <c r="A18" s="8" t="s">
        <v>85</v>
      </c>
      <c r="B18" s="9" t="s">
        <v>652</v>
      </c>
      <c r="C18" s="9" t="s">
        <v>597</v>
      </c>
      <c r="D18" s="9">
        <v>17</v>
      </c>
      <c r="E18" s="9" t="s">
        <v>228</v>
      </c>
      <c r="F18" s="9" t="s">
        <v>455</v>
      </c>
      <c r="G18" s="10">
        <v>0.75624999999999998</v>
      </c>
      <c r="H18" s="9" t="s">
        <v>365</v>
      </c>
      <c r="I18" s="9">
        <v>1.17</v>
      </c>
      <c r="J18" s="9" t="s">
        <v>45</v>
      </c>
      <c r="K18" s="9">
        <v>353</v>
      </c>
      <c r="L18" s="9">
        <v>61</v>
      </c>
      <c r="M18" s="9" t="s">
        <v>22</v>
      </c>
      <c r="N18" s="9">
        <v>15</v>
      </c>
      <c r="O18" s="9" t="s">
        <v>23</v>
      </c>
      <c r="P18" s="9" t="s">
        <v>24</v>
      </c>
      <c r="Q18" s="11" t="str">
        <f t="shared" si="0"/>
        <v>None</v>
      </c>
    </row>
    <row r="19" spans="1:17" x14ac:dyDescent="0.3">
      <c r="A19" s="8" t="s">
        <v>91</v>
      </c>
      <c r="B19" s="9" t="s">
        <v>615</v>
      </c>
      <c r="C19" s="9" t="s">
        <v>594</v>
      </c>
      <c r="D19" s="9">
        <v>31</v>
      </c>
      <c r="E19" s="9" t="s">
        <v>326</v>
      </c>
      <c r="F19" s="9" t="s">
        <v>292</v>
      </c>
      <c r="G19" s="10">
        <v>0.62638888888888888</v>
      </c>
      <c r="H19" s="9" t="s">
        <v>630</v>
      </c>
      <c r="I19" s="9">
        <v>6.72</v>
      </c>
      <c r="J19" s="9" t="s">
        <v>65</v>
      </c>
      <c r="K19" s="9">
        <v>251</v>
      </c>
      <c r="L19" s="9">
        <v>115</v>
      </c>
      <c r="M19" s="9" t="s">
        <v>22</v>
      </c>
      <c r="N19" s="9">
        <v>19</v>
      </c>
      <c r="O19" s="9" t="s">
        <v>55</v>
      </c>
      <c r="P19" s="9" t="s">
        <v>24</v>
      </c>
      <c r="Q19" s="11" t="str">
        <f t="shared" si="0"/>
        <v>Restaurant Delay</v>
      </c>
    </row>
    <row r="20" spans="1:17" x14ac:dyDescent="0.3">
      <c r="A20" s="8" t="s">
        <v>95</v>
      </c>
      <c r="B20" s="9" t="s">
        <v>690</v>
      </c>
      <c r="C20" s="9" t="s">
        <v>597</v>
      </c>
      <c r="D20" s="9">
        <v>12</v>
      </c>
      <c r="E20" s="9" t="s">
        <v>691</v>
      </c>
      <c r="F20" s="9" t="s">
        <v>267</v>
      </c>
      <c r="G20" s="10">
        <v>0.45277777777777778</v>
      </c>
      <c r="H20" s="9" t="s">
        <v>342</v>
      </c>
      <c r="I20" s="9">
        <v>4.54</v>
      </c>
      <c r="J20" s="9" t="s">
        <v>118</v>
      </c>
      <c r="K20" s="9">
        <v>206</v>
      </c>
      <c r="L20" s="9">
        <v>100</v>
      </c>
      <c r="M20" s="9" t="s">
        <v>22</v>
      </c>
      <c r="N20" s="9">
        <v>15</v>
      </c>
      <c r="O20" s="9" t="s">
        <v>23</v>
      </c>
      <c r="P20" s="9" t="s">
        <v>24</v>
      </c>
      <c r="Q20" s="11" t="str">
        <f t="shared" si="0"/>
        <v>None</v>
      </c>
    </row>
    <row r="21" spans="1:17" x14ac:dyDescent="0.3">
      <c r="A21" s="8" t="s">
        <v>100</v>
      </c>
      <c r="B21" s="9" t="s">
        <v>659</v>
      </c>
      <c r="C21" s="9" t="s">
        <v>597</v>
      </c>
      <c r="D21" s="9">
        <v>20</v>
      </c>
      <c r="E21" s="9" t="s">
        <v>692</v>
      </c>
      <c r="F21" s="9" t="s">
        <v>662</v>
      </c>
      <c r="G21" s="10">
        <v>0.75347222222222221</v>
      </c>
      <c r="H21" s="9" t="s">
        <v>88</v>
      </c>
      <c r="I21" s="9">
        <v>5.72</v>
      </c>
      <c r="J21" s="9" t="s">
        <v>99</v>
      </c>
      <c r="K21" s="9">
        <v>259</v>
      </c>
      <c r="L21" s="9">
        <v>110</v>
      </c>
      <c r="M21" s="9" t="s">
        <v>22</v>
      </c>
      <c r="N21" s="9">
        <v>12</v>
      </c>
      <c r="O21" s="9" t="s">
        <v>23</v>
      </c>
      <c r="P21" s="9" t="s">
        <v>24</v>
      </c>
      <c r="Q21" s="11" t="str">
        <f t="shared" si="0"/>
        <v>None</v>
      </c>
    </row>
    <row r="22" spans="1:17" x14ac:dyDescent="0.3">
      <c r="A22" s="8" t="s">
        <v>104</v>
      </c>
      <c r="B22" s="9" t="s">
        <v>693</v>
      </c>
      <c r="C22" s="9" t="s">
        <v>594</v>
      </c>
      <c r="D22" s="9">
        <v>31</v>
      </c>
      <c r="E22" s="9" t="s">
        <v>156</v>
      </c>
      <c r="F22" s="9" t="s">
        <v>171</v>
      </c>
      <c r="G22" s="10">
        <v>0.65555555555555556</v>
      </c>
      <c r="H22" s="9" t="s">
        <v>694</v>
      </c>
      <c r="I22" s="9">
        <v>1.5</v>
      </c>
      <c r="J22" s="9" t="s">
        <v>211</v>
      </c>
      <c r="K22" s="9">
        <v>390</v>
      </c>
      <c r="L22" s="9">
        <v>62</v>
      </c>
      <c r="M22" s="9" t="s">
        <v>22</v>
      </c>
      <c r="N22" s="9">
        <v>15</v>
      </c>
      <c r="O22" s="9" t="s">
        <v>55</v>
      </c>
      <c r="P22" s="9" t="s">
        <v>24</v>
      </c>
      <c r="Q22" s="11" t="str">
        <f t="shared" si="0"/>
        <v>Restaurant Delay</v>
      </c>
    </row>
    <row r="23" spans="1:17" x14ac:dyDescent="0.3">
      <c r="A23" s="8" t="s">
        <v>107</v>
      </c>
      <c r="B23" s="9" t="s">
        <v>587</v>
      </c>
      <c r="C23" s="9" t="s">
        <v>597</v>
      </c>
      <c r="D23" s="9">
        <v>14</v>
      </c>
      <c r="E23" s="9" t="s">
        <v>74</v>
      </c>
      <c r="F23" s="9" t="s">
        <v>74</v>
      </c>
      <c r="G23" s="10">
        <v>0.54305555555555551</v>
      </c>
      <c r="H23" s="9" t="s">
        <v>695</v>
      </c>
      <c r="I23" s="9">
        <v>4.93</v>
      </c>
      <c r="J23" s="9" t="s">
        <v>69</v>
      </c>
      <c r="K23" s="9">
        <v>205</v>
      </c>
      <c r="L23" s="9">
        <v>99</v>
      </c>
      <c r="M23" s="9" t="s">
        <v>22</v>
      </c>
      <c r="N23" s="9">
        <v>13</v>
      </c>
      <c r="O23" s="9" t="s">
        <v>23</v>
      </c>
      <c r="P23" s="9" t="s">
        <v>24</v>
      </c>
      <c r="Q23" s="11" t="str">
        <f t="shared" si="0"/>
        <v>None</v>
      </c>
    </row>
    <row r="24" spans="1:17" x14ac:dyDescent="0.3">
      <c r="A24" s="8" t="s">
        <v>111</v>
      </c>
      <c r="B24" s="9" t="s">
        <v>654</v>
      </c>
      <c r="C24" s="9" t="s">
        <v>597</v>
      </c>
      <c r="D24" s="9">
        <v>19</v>
      </c>
      <c r="E24" s="9" t="s">
        <v>686</v>
      </c>
      <c r="F24" s="9" t="s">
        <v>680</v>
      </c>
      <c r="G24" s="10">
        <v>0.76249999999999996</v>
      </c>
      <c r="H24" s="9" t="s">
        <v>218</v>
      </c>
      <c r="I24" s="9">
        <v>3.65</v>
      </c>
      <c r="J24" s="9" t="s">
        <v>126</v>
      </c>
      <c r="K24" s="9">
        <v>296</v>
      </c>
      <c r="L24" s="9">
        <v>86</v>
      </c>
      <c r="M24" s="9" t="s">
        <v>22</v>
      </c>
      <c r="N24" s="9">
        <v>16</v>
      </c>
      <c r="O24" s="9" t="s">
        <v>23</v>
      </c>
      <c r="P24" s="9" t="s">
        <v>24</v>
      </c>
      <c r="Q24" s="11" t="str">
        <f t="shared" si="0"/>
        <v>None</v>
      </c>
    </row>
    <row r="25" spans="1:17" x14ac:dyDescent="0.3">
      <c r="A25" s="8" t="s">
        <v>115</v>
      </c>
      <c r="B25" s="9" t="s">
        <v>303</v>
      </c>
      <c r="C25" s="9" t="s">
        <v>597</v>
      </c>
      <c r="D25" s="9">
        <v>20</v>
      </c>
      <c r="E25" s="9" t="s">
        <v>671</v>
      </c>
      <c r="F25" s="9" t="s">
        <v>671</v>
      </c>
      <c r="G25" s="10">
        <v>0.57152777777777775</v>
      </c>
      <c r="H25" s="9" t="s">
        <v>243</v>
      </c>
      <c r="I25" s="9">
        <v>4.53</v>
      </c>
      <c r="J25" s="9" t="s">
        <v>40</v>
      </c>
      <c r="K25" s="9">
        <v>373</v>
      </c>
      <c r="L25" s="9">
        <v>97</v>
      </c>
      <c r="M25" s="9" t="s">
        <v>22</v>
      </c>
      <c r="N25" s="9">
        <v>15</v>
      </c>
      <c r="O25" s="9" t="s">
        <v>23</v>
      </c>
      <c r="P25" s="9" t="s">
        <v>24</v>
      </c>
      <c r="Q25" s="11" t="str">
        <f t="shared" si="0"/>
        <v>None</v>
      </c>
    </row>
    <row r="26" spans="1:17" x14ac:dyDescent="0.3">
      <c r="A26" s="8" t="s">
        <v>119</v>
      </c>
      <c r="B26" s="9" t="s">
        <v>371</v>
      </c>
      <c r="C26" s="9" t="s">
        <v>594</v>
      </c>
      <c r="D26" s="9">
        <v>31</v>
      </c>
      <c r="E26" s="9" t="s">
        <v>68</v>
      </c>
      <c r="F26" s="9" t="s">
        <v>155</v>
      </c>
      <c r="G26" s="10">
        <v>0.64444444444444449</v>
      </c>
      <c r="H26" s="9" t="s">
        <v>696</v>
      </c>
      <c r="I26" s="9">
        <v>6.48</v>
      </c>
      <c r="J26" s="9" t="s">
        <v>49</v>
      </c>
      <c r="K26" s="9">
        <v>218</v>
      </c>
      <c r="L26" s="9">
        <v>113</v>
      </c>
      <c r="M26" s="9" t="s">
        <v>22</v>
      </c>
      <c r="N26" s="9">
        <v>17</v>
      </c>
      <c r="O26" s="9" t="s">
        <v>55</v>
      </c>
      <c r="P26" s="9" t="s">
        <v>24</v>
      </c>
      <c r="Q26" s="11" t="str">
        <f t="shared" si="0"/>
        <v>Restaurant Delay</v>
      </c>
    </row>
    <row r="27" spans="1:17" x14ac:dyDescent="0.3">
      <c r="A27" s="8" t="s">
        <v>123</v>
      </c>
      <c r="B27" s="9" t="s">
        <v>202</v>
      </c>
      <c r="C27" s="9" t="s">
        <v>597</v>
      </c>
      <c r="D27" s="9">
        <v>15</v>
      </c>
      <c r="E27" s="9" t="s">
        <v>52</v>
      </c>
      <c r="F27" s="9" t="s">
        <v>697</v>
      </c>
      <c r="G27" s="10">
        <v>0.70069444444444451</v>
      </c>
      <c r="H27" s="9" t="s">
        <v>163</v>
      </c>
      <c r="I27" s="9">
        <v>4.3899999999999997</v>
      </c>
      <c r="J27" s="9" t="s">
        <v>65</v>
      </c>
      <c r="K27" s="9">
        <v>171</v>
      </c>
      <c r="L27" s="9">
        <v>92</v>
      </c>
      <c r="M27" s="9" t="s">
        <v>77</v>
      </c>
      <c r="N27" s="9">
        <v>20</v>
      </c>
      <c r="O27" s="9" t="s">
        <v>55</v>
      </c>
      <c r="P27" s="9" t="s">
        <v>78</v>
      </c>
      <c r="Q27" s="11" t="str">
        <f t="shared" si="0"/>
        <v>Restaurant Delay</v>
      </c>
    </row>
    <row r="28" spans="1:17" x14ac:dyDescent="0.3">
      <c r="A28" s="8" t="s">
        <v>127</v>
      </c>
      <c r="B28" s="9" t="s">
        <v>181</v>
      </c>
      <c r="C28" s="9" t="s">
        <v>597</v>
      </c>
      <c r="D28" s="9">
        <v>18</v>
      </c>
      <c r="E28" s="9" t="s">
        <v>618</v>
      </c>
      <c r="F28" s="9" t="s">
        <v>619</v>
      </c>
      <c r="G28" s="10">
        <v>0.55347222222222225</v>
      </c>
      <c r="H28" s="9" t="s">
        <v>699</v>
      </c>
      <c r="I28" s="9">
        <v>6.31</v>
      </c>
      <c r="J28" s="9" t="s">
        <v>49</v>
      </c>
      <c r="K28" s="9">
        <v>237</v>
      </c>
      <c r="L28" s="9">
        <v>115</v>
      </c>
      <c r="M28" s="9" t="s">
        <v>22</v>
      </c>
      <c r="N28" s="9">
        <v>13</v>
      </c>
      <c r="O28" s="9" t="s">
        <v>23</v>
      </c>
      <c r="P28" s="9" t="s">
        <v>24</v>
      </c>
      <c r="Q28" s="11" t="str">
        <f t="shared" si="0"/>
        <v>Distance</v>
      </c>
    </row>
    <row r="29" spans="1:17" x14ac:dyDescent="0.3">
      <c r="A29" s="8" t="s">
        <v>130</v>
      </c>
      <c r="B29" s="9" t="s">
        <v>511</v>
      </c>
      <c r="C29" s="9" t="s">
        <v>597</v>
      </c>
      <c r="D29" s="9">
        <v>19</v>
      </c>
      <c r="E29" s="9" t="s">
        <v>468</v>
      </c>
      <c r="F29" s="9" t="s">
        <v>468</v>
      </c>
      <c r="G29" s="10">
        <v>0.63749999999999996</v>
      </c>
      <c r="H29" s="9" t="s">
        <v>156</v>
      </c>
      <c r="I29" s="9">
        <v>1.95</v>
      </c>
      <c r="J29" s="9" t="s">
        <v>62</v>
      </c>
      <c r="K29" s="9">
        <v>254</v>
      </c>
      <c r="L29" s="9">
        <v>67</v>
      </c>
      <c r="M29" s="9" t="s">
        <v>22</v>
      </c>
      <c r="N29" s="9">
        <v>20</v>
      </c>
      <c r="O29" s="9" t="s">
        <v>55</v>
      </c>
      <c r="P29" s="9" t="s">
        <v>24</v>
      </c>
      <c r="Q29" s="11" t="str">
        <f t="shared" si="0"/>
        <v>None</v>
      </c>
    </row>
    <row r="30" spans="1:17" x14ac:dyDescent="0.3">
      <c r="A30" s="8" t="s">
        <v>132</v>
      </c>
      <c r="B30" s="9" t="s">
        <v>51</v>
      </c>
      <c r="C30" s="9" t="s">
        <v>597</v>
      </c>
      <c r="D30" s="9">
        <v>12</v>
      </c>
      <c r="E30" s="9" t="s">
        <v>700</v>
      </c>
      <c r="F30" s="9" t="s">
        <v>697</v>
      </c>
      <c r="G30" s="10">
        <v>0.69791666666666674</v>
      </c>
      <c r="H30" s="9" t="s">
        <v>676</v>
      </c>
      <c r="I30" s="9">
        <v>1.8</v>
      </c>
      <c r="J30" s="9" t="s">
        <v>69</v>
      </c>
      <c r="K30" s="9">
        <v>207</v>
      </c>
      <c r="L30" s="9">
        <v>65</v>
      </c>
      <c r="M30" s="9" t="s">
        <v>77</v>
      </c>
      <c r="N30" s="9">
        <v>16</v>
      </c>
      <c r="O30" s="9" t="s">
        <v>55</v>
      </c>
      <c r="P30" s="9" t="s">
        <v>78</v>
      </c>
      <c r="Q30" s="11" t="str">
        <f t="shared" si="0"/>
        <v>Restaurant Delay</v>
      </c>
    </row>
    <row r="31" spans="1:17" x14ac:dyDescent="0.3">
      <c r="A31" s="8" t="s">
        <v>133</v>
      </c>
      <c r="B31" s="9" t="s">
        <v>48</v>
      </c>
      <c r="C31" s="9" t="s">
        <v>597</v>
      </c>
      <c r="D31" s="9">
        <v>15</v>
      </c>
      <c r="E31" s="9" t="s">
        <v>701</v>
      </c>
      <c r="F31" s="9" t="s">
        <v>701</v>
      </c>
      <c r="G31" s="10">
        <v>0.48680555555555555</v>
      </c>
      <c r="H31" s="9" t="s">
        <v>682</v>
      </c>
      <c r="I31" s="9">
        <v>4.74</v>
      </c>
      <c r="J31" s="9" t="s">
        <v>49</v>
      </c>
      <c r="K31" s="9">
        <v>220</v>
      </c>
      <c r="L31" s="9">
        <v>101</v>
      </c>
      <c r="M31" s="9" t="s">
        <v>22</v>
      </c>
      <c r="N31" s="9">
        <v>14</v>
      </c>
      <c r="O31" s="9" t="s">
        <v>23</v>
      </c>
      <c r="P31" s="9" t="s">
        <v>24</v>
      </c>
      <c r="Q31" s="11" t="str">
        <f t="shared" si="0"/>
        <v>None</v>
      </c>
    </row>
    <row r="32" spans="1:17" x14ac:dyDescent="0.3">
      <c r="A32" s="8" t="s">
        <v>135</v>
      </c>
      <c r="B32" s="9" t="s">
        <v>305</v>
      </c>
      <c r="C32" s="9" t="s">
        <v>597</v>
      </c>
      <c r="D32" s="9">
        <v>10</v>
      </c>
      <c r="E32" s="9" t="s">
        <v>188</v>
      </c>
      <c r="F32" s="9" t="s">
        <v>165</v>
      </c>
      <c r="G32" s="10">
        <v>0.46180555555555552</v>
      </c>
      <c r="H32" s="9" t="s">
        <v>47</v>
      </c>
      <c r="I32" s="9">
        <v>1.1000000000000001</v>
      </c>
      <c r="J32" s="9" t="s">
        <v>99</v>
      </c>
      <c r="K32" s="9">
        <v>376</v>
      </c>
      <c r="L32" s="9">
        <v>66</v>
      </c>
      <c r="M32" s="9" t="s">
        <v>22</v>
      </c>
      <c r="N32" s="9">
        <v>16</v>
      </c>
      <c r="O32" s="9" t="s">
        <v>23</v>
      </c>
      <c r="P32" s="9" t="s">
        <v>24</v>
      </c>
      <c r="Q32" s="11" t="str">
        <f t="shared" si="0"/>
        <v>None</v>
      </c>
    </row>
    <row r="33" spans="1:17" x14ac:dyDescent="0.3">
      <c r="A33" s="8" t="s">
        <v>138</v>
      </c>
      <c r="B33" s="9" t="s">
        <v>621</v>
      </c>
      <c r="C33" s="9" t="s">
        <v>597</v>
      </c>
      <c r="D33" s="9">
        <v>19</v>
      </c>
      <c r="E33" s="9" t="s">
        <v>702</v>
      </c>
      <c r="F33" s="9" t="s">
        <v>695</v>
      </c>
      <c r="G33" s="10">
        <v>0.56527777777777777</v>
      </c>
      <c r="H33" s="9" t="s">
        <v>495</v>
      </c>
      <c r="I33" s="9">
        <v>1.81</v>
      </c>
      <c r="J33" s="9" t="s">
        <v>49</v>
      </c>
      <c r="K33" s="9">
        <v>190</v>
      </c>
      <c r="L33" s="9">
        <v>69</v>
      </c>
      <c r="M33" s="9" t="s">
        <v>22</v>
      </c>
      <c r="N33" s="9">
        <v>15</v>
      </c>
      <c r="O33" s="9" t="s">
        <v>23</v>
      </c>
      <c r="P33" s="9" t="s">
        <v>24</v>
      </c>
      <c r="Q33" s="11" t="str">
        <f t="shared" si="0"/>
        <v>None</v>
      </c>
    </row>
    <row r="34" spans="1:17" x14ac:dyDescent="0.3">
      <c r="A34" s="8" t="s">
        <v>142</v>
      </c>
      <c r="B34" s="9" t="s">
        <v>703</v>
      </c>
      <c r="C34" s="9" t="s">
        <v>597</v>
      </c>
      <c r="D34" s="9">
        <v>16</v>
      </c>
      <c r="E34" s="9" t="s">
        <v>659</v>
      </c>
      <c r="F34" s="9" t="s">
        <v>681</v>
      </c>
      <c r="G34" s="10">
        <v>0.74236111111111103</v>
      </c>
      <c r="H34" s="9" t="s">
        <v>648</v>
      </c>
      <c r="I34" s="9">
        <v>7.36</v>
      </c>
      <c r="J34" s="9" t="s">
        <v>122</v>
      </c>
      <c r="K34" s="9">
        <v>332</v>
      </c>
      <c r="L34" s="9">
        <v>127</v>
      </c>
      <c r="M34" s="9" t="s">
        <v>22</v>
      </c>
      <c r="N34" s="9">
        <v>18</v>
      </c>
      <c r="O34" s="9" t="s">
        <v>23</v>
      </c>
      <c r="P34" s="9" t="s">
        <v>24</v>
      </c>
      <c r="Q34" s="11" t="str">
        <f t="shared" si="0"/>
        <v>Distance</v>
      </c>
    </row>
    <row r="35" spans="1:17" x14ac:dyDescent="0.3">
      <c r="A35" s="8" t="s">
        <v>145</v>
      </c>
      <c r="B35" s="9" t="s">
        <v>602</v>
      </c>
      <c r="C35" s="9" t="s">
        <v>594</v>
      </c>
      <c r="D35" s="9">
        <v>35</v>
      </c>
      <c r="E35" s="9" t="s">
        <v>694</v>
      </c>
      <c r="F35" s="9" t="s">
        <v>704</v>
      </c>
      <c r="G35" s="10">
        <v>0.67291666666666661</v>
      </c>
      <c r="H35" s="9" t="s">
        <v>503</v>
      </c>
      <c r="I35" s="9">
        <v>1.07</v>
      </c>
      <c r="J35" s="9" t="s">
        <v>76</v>
      </c>
      <c r="K35" s="9">
        <v>231</v>
      </c>
      <c r="L35" s="9">
        <v>55</v>
      </c>
      <c r="M35" s="9" t="s">
        <v>22</v>
      </c>
      <c r="N35" s="9">
        <v>15</v>
      </c>
      <c r="O35" s="9" t="s">
        <v>55</v>
      </c>
      <c r="P35" s="9" t="s">
        <v>24</v>
      </c>
      <c r="Q35" s="11" t="str">
        <f t="shared" si="0"/>
        <v>Restaurant Delay</v>
      </c>
    </row>
    <row r="36" spans="1:17" x14ac:dyDescent="0.3">
      <c r="A36" s="8" t="s">
        <v>148</v>
      </c>
      <c r="B36" s="9" t="s">
        <v>508</v>
      </c>
      <c r="C36" s="9" t="s">
        <v>597</v>
      </c>
      <c r="D36" s="9">
        <v>11</v>
      </c>
      <c r="E36" s="9" t="s">
        <v>601</v>
      </c>
      <c r="F36" s="9" t="s">
        <v>486</v>
      </c>
      <c r="G36" s="10">
        <v>0.70555555555555549</v>
      </c>
      <c r="H36" s="9" t="s">
        <v>659</v>
      </c>
      <c r="I36" s="9">
        <v>7.79</v>
      </c>
      <c r="J36" s="9" t="s">
        <v>90</v>
      </c>
      <c r="K36" s="9">
        <v>205</v>
      </c>
      <c r="L36" s="9">
        <v>124</v>
      </c>
      <c r="M36" s="9" t="s">
        <v>22</v>
      </c>
      <c r="N36" s="9">
        <v>15</v>
      </c>
      <c r="O36" s="9" t="s">
        <v>55</v>
      </c>
      <c r="P36" s="9" t="s">
        <v>24</v>
      </c>
      <c r="Q36" s="11" t="str">
        <f t="shared" si="0"/>
        <v>Distance</v>
      </c>
    </row>
    <row r="37" spans="1:17" x14ac:dyDescent="0.3">
      <c r="A37" s="8" t="s">
        <v>151</v>
      </c>
      <c r="B37" s="9" t="s">
        <v>81</v>
      </c>
      <c r="C37" s="9" t="s">
        <v>597</v>
      </c>
      <c r="D37" s="9">
        <v>17</v>
      </c>
      <c r="E37" s="9" t="s">
        <v>344</v>
      </c>
      <c r="F37" s="9" t="s">
        <v>641</v>
      </c>
      <c r="G37" s="10">
        <v>0.8208333333333333</v>
      </c>
      <c r="H37" s="9" t="s">
        <v>622</v>
      </c>
      <c r="I37" s="9">
        <v>2.2799999999999998</v>
      </c>
      <c r="J37" s="9" t="s">
        <v>177</v>
      </c>
      <c r="K37" s="9">
        <v>213</v>
      </c>
      <c r="L37" s="9">
        <v>81</v>
      </c>
      <c r="M37" s="9" t="s">
        <v>22</v>
      </c>
      <c r="N37" s="9">
        <v>10</v>
      </c>
      <c r="O37" s="9" t="s">
        <v>34</v>
      </c>
      <c r="P37" s="9" t="s">
        <v>24</v>
      </c>
      <c r="Q37" s="11" t="str">
        <f t="shared" si="0"/>
        <v>Traffic</v>
      </c>
    </row>
    <row r="38" spans="1:17" x14ac:dyDescent="0.3">
      <c r="A38" s="8" t="s">
        <v>153</v>
      </c>
      <c r="B38" s="9" t="s">
        <v>48</v>
      </c>
      <c r="C38" s="9" t="s">
        <v>597</v>
      </c>
      <c r="D38" s="9">
        <v>11</v>
      </c>
      <c r="E38" s="9" t="s">
        <v>59</v>
      </c>
      <c r="F38" s="9" t="s">
        <v>452</v>
      </c>
      <c r="G38" s="10">
        <v>0.48541666666666666</v>
      </c>
      <c r="H38" s="9" t="s">
        <v>705</v>
      </c>
      <c r="I38" s="9">
        <v>1.63</v>
      </c>
      <c r="J38" s="9" t="s">
        <v>211</v>
      </c>
      <c r="K38" s="9">
        <v>249</v>
      </c>
      <c r="L38" s="9">
        <v>69</v>
      </c>
      <c r="M38" s="9" t="s">
        <v>22</v>
      </c>
      <c r="N38" s="9">
        <v>18</v>
      </c>
      <c r="O38" s="9" t="s">
        <v>23</v>
      </c>
      <c r="P38" s="9" t="s">
        <v>24</v>
      </c>
      <c r="Q38" s="11" t="str">
        <f t="shared" si="0"/>
        <v>None</v>
      </c>
    </row>
    <row r="39" spans="1:17" x14ac:dyDescent="0.3">
      <c r="A39" s="8" t="s">
        <v>157</v>
      </c>
      <c r="B39" s="9" t="s">
        <v>481</v>
      </c>
      <c r="C39" s="9" t="s">
        <v>597</v>
      </c>
      <c r="D39" s="9">
        <v>15</v>
      </c>
      <c r="E39" s="9" t="s">
        <v>706</v>
      </c>
      <c r="F39" s="9" t="s">
        <v>165</v>
      </c>
      <c r="G39" s="10">
        <v>0.46111111111111108</v>
      </c>
      <c r="H39" s="9" t="s">
        <v>131</v>
      </c>
      <c r="I39" s="9">
        <v>7.25</v>
      </c>
      <c r="J39" s="9" t="s">
        <v>21</v>
      </c>
      <c r="K39" s="9">
        <v>175</v>
      </c>
      <c r="L39" s="9">
        <v>126</v>
      </c>
      <c r="M39" s="9" t="s">
        <v>22</v>
      </c>
      <c r="N39" s="9">
        <v>18</v>
      </c>
      <c r="O39" s="9" t="s">
        <v>23</v>
      </c>
      <c r="P39" s="9" t="s">
        <v>24</v>
      </c>
      <c r="Q39" s="11" t="str">
        <f t="shared" si="0"/>
        <v>Distance</v>
      </c>
    </row>
    <row r="40" spans="1:17" x14ac:dyDescent="0.3">
      <c r="A40" s="8" t="s">
        <v>161</v>
      </c>
      <c r="B40" s="9" t="s">
        <v>616</v>
      </c>
      <c r="C40" s="9" t="s">
        <v>597</v>
      </c>
      <c r="D40" s="9">
        <v>11</v>
      </c>
      <c r="E40" s="9" t="s">
        <v>308</v>
      </c>
      <c r="F40" s="9" t="s">
        <v>557</v>
      </c>
      <c r="G40" s="10">
        <v>0.84444444444444433</v>
      </c>
      <c r="H40" s="9" t="s">
        <v>707</v>
      </c>
      <c r="I40" s="9">
        <v>1.1399999999999999</v>
      </c>
      <c r="J40" s="9" t="s">
        <v>21</v>
      </c>
      <c r="K40" s="9">
        <v>218</v>
      </c>
      <c r="L40" s="9">
        <v>69</v>
      </c>
      <c r="M40" s="9" t="s">
        <v>22</v>
      </c>
      <c r="N40" s="9">
        <v>9</v>
      </c>
      <c r="O40" s="9" t="s">
        <v>34</v>
      </c>
      <c r="P40" s="9" t="s">
        <v>24</v>
      </c>
      <c r="Q40" s="11" t="str">
        <f t="shared" si="0"/>
        <v>Traffic</v>
      </c>
    </row>
    <row r="41" spans="1:17" x14ac:dyDescent="0.3">
      <c r="A41" s="8" t="s">
        <v>164</v>
      </c>
      <c r="B41" s="9" t="s">
        <v>116</v>
      </c>
      <c r="C41" s="9" t="s">
        <v>597</v>
      </c>
      <c r="D41" s="9">
        <v>10</v>
      </c>
      <c r="E41" s="9" t="s">
        <v>316</v>
      </c>
      <c r="F41" s="9" t="s">
        <v>526</v>
      </c>
      <c r="G41" s="10">
        <v>0.47638888888888892</v>
      </c>
      <c r="H41" s="9" t="s">
        <v>131</v>
      </c>
      <c r="I41" s="9">
        <v>3.04</v>
      </c>
      <c r="J41" s="9" t="s">
        <v>65</v>
      </c>
      <c r="K41" s="9">
        <v>370</v>
      </c>
      <c r="L41" s="9">
        <v>80</v>
      </c>
      <c r="M41" s="9" t="s">
        <v>22</v>
      </c>
      <c r="N41" s="9">
        <v>17</v>
      </c>
      <c r="O41" s="9" t="s">
        <v>23</v>
      </c>
      <c r="P41" s="9" t="s">
        <v>24</v>
      </c>
      <c r="Q41" s="11" t="str">
        <f t="shared" si="0"/>
        <v>None</v>
      </c>
    </row>
    <row r="42" spans="1:17" x14ac:dyDescent="0.3">
      <c r="A42" s="8" t="s">
        <v>166</v>
      </c>
      <c r="B42" s="9" t="s">
        <v>708</v>
      </c>
      <c r="C42" s="9" t="s">
        <v>597</v>
      </c>
      <c r="D42" s="9">
        <v>15</v>
      </c>
      <c r="E42" s="9" t="s">
        <v>192</v>
      </c>
      <c r="F42" s="9" t="s">
        <v>705</v>
      </c>
      <c r="G42" s="10">
        <v>0.49999999999999994</v>
      </c>
      <c r="H42" s="9" t="s">
        <v>181</v>
      </c>
      <c r="I42" s="9">
        <v>7.64</v>
      </c>
      <c r="J42" s="9" t="s">
        <v>65</v>
      </c>
      <c r="K42" s="9">
        <v>188</v>
      </c>
      <c r="L42" s="9">
        <v>130</v>
      </c>
      <c r="M42" s="9" t="s">
        <v>22</v>
      </c>
      <c r="N42" s="9">
        <v>12</v>
      </c>
      <c r="O42" s="9" t="s">
        <v>23</v>
      </c>
      <c r="P42" s="9" t="s">
        <v>24</v>
      </c>
      <c r="Q42" s="11" t="str">
        <f t="shared" si="0"/>
        <v>Distance</v>
      </c>
    </row>
    <row r="43" spans="1:17" x14ac:dyDescent="0.3">
      <c r="A43" s="8" t="s">
        <v>167</v>
      </c>
      <c r="B43" s="9" t="s">
        <v>207</v>
      </c>
      <c r="C43" s="9" t="s">
        <v>597</v>
      </c>
      <c r="D43" s="9">
        <v>18</v>
      </c>
      <c r="E43" s="9" t="s">
        <v>565</v>
      </c>
      <c r="F43" s="9" t="s">
        <v>223</v>
      </c>
      <c r="G43" s="10">
        <v>0.65902777777777777</v>
      </c>
      <c r="H43" s="9" t="s">
        <v>704</v>
      </c>
      <c r="I43" s="9">
        <v>1.88</v>
      </c>
      <c r="J43" s="9" t="s">
        <v>99</v>
      </c>
      <c r="K43" s="9">
        <v>383</v>
      </c>
      <c r="L43" s="9">
        <v>65</v>
      </c>
      <c r="M43" s="9" t="s">
        <v>22</v>
      </c>
      <c r="N43" s="9">
        <v>19</v>
      </c>
      <c r="O43" s="9" t="s">
        <v>55</v>
      </c>
      <c r="P43" s="9" t="s">
        <v>24</v>
      </c>
      <c r="Q43" s="11" t="str">
        <f t="shared" si="0"/>
        <v>None</v>
      </c>
    </row>
    <row r="44" spans="1:17" x14ac:dyDescent="0.3">
      <c r="A44" s="8" t="s">
        <v>170</v>
      </c>
      <c r="B44" s="9" t="s">
        <v>710</v>
      </c>
      <c r="C44" s="9" t="s">
        <v>597</v>
      </c>
      <c r="D44" s="9">
        <v>19</v>
      </c>
      <c r="E44" s="9" t="s">
        <v>363</v>
      </c>
      <c r="F44" s="9" t="s">
        <v>630</v>
      </c>
      <c r="G44" s="10">
        <v>0.65833333333333333</v>
      </c>
      <c r="H44" s="9" t="s">
        <v>202</v>
      </c>
      <c r="I44" s="9">
        <v>6.89</v>
      </c>
      <c r="J44" s="9" t="s">
        <v>21</v>
      </c>
      <c r="K44" s="9">
        <v>260</v>
      </c>
      <c r="L44" s="9">
        <v>117</v>
      </c>
      <c r="M44" s="9" t="s">
        <v>22</v>
      </c>
      <c r="N44" s="9">
        <v>20</v>
      </c>
      <c r="O44" s="9" t="s">
        <v>55</v>
      </c>
      <c r="P44" s="9" t="s">
        <v>24</v>
      </c>
      <c r="Q44" s="11" t="str">
        <f t="shared" si="0"/>
        <v>Distance</v>
      </c>
    </row>
    <row r="45" spans="1:17" x14ac:dyDescent="0.3">
      <c r="A45" s="8" t="s">
        <v>173</v>
      </c>
      <c r="B45" s="9" t="s">
        <v>381</v>
      </c>
      <c r="C45" s="9" t="s">
        <v>594</v>
      </c>
      <c r="D45" s="9">
        <v>32</v>
      </c>
      <c r="E45" s="9" t="s">
        <v>619</v>
      </c>
      <c r="F45" s="9" t="s">
        <v>361</v>
      </c>
      <c r="G45" s="10">
        <v>0.55972222222222223</v>
      </c>
      <c r="H45" s="9" t="s">
        <v>711</v>
      </c>
      <c r="I45" s="9">
        <v>5.77</v>
      </c>
      <c r="J45" s="9" t="s">
        <v>54</v>
      </c>
      <c r="K45" s="9">
        <v>290</v>
      </c>
      <c r="L45" s="9">
        <v>107</v>
      </c>
      <c r="M45" s="9" t="s">
        <v>22</v>
      </c>
      <c r="N45" s="9">
        <v>14</v>
      </c>
      <c r="O45" s="9" t="s">
        <v>23</v>
      </c>
      <c r="P45" s="9" t="s">
        <v>24</v>
      </c>
      <c r="Q45" s="11" t="str">
        <f t="shared" si="0"/>
        <v>Restaurant Delay</v>
      </c>
    </row>
    <row r="46" spans="1:17" x14ac:dyDescent="0.3">
      <c r="A46" s="8" t="s">
        <v>175</v>
      </c>
      <c r="B46" s="9" t="s">
        <v>169</v>
      </c>
      <c r="C46" s="9" t="s">
        <v>597</v>
      </c>
      <c r="D46" s="9">
        <v>18</v>
      </c>
      <c r="E46" s="9" t="s">
        <v>344</v>
      </c>
      <c r="F46" s="9" t="s">
        <v>30</v>
      </c>
      <c r="G46" s="10">
        <v>0.82013888888888886</v>
      </c>
      <c r="H46" s="9" t="s">
        <v>557</v>
      </c>
      <c r="I46" s="9">
        <v>3.77</v>
      </c>
      <c r="J46" s="9" t="s">
        <v>28</v>
      </c>
      <c r="K46" s="9">
        <v>274</v>
      </c>
      <c r="L46" s="9">
        <v>92</v>
      </c>
      <c r="M46" s="9" t="s">
        <v>22</v>
      </c>
      <c r="N46" s="9">
        <v>11</v>
      </c>
      <c r="O46" s="9" t="s">
        <v>34</v>
      </c>
      <c r="P46" s="9" t="s">
        <v>24</v>
      </c>
      <c r="Q46" s="11" t="str">
        <f t="shared" si="0"/>
        <v>Traffic</v>
      </c>
    </row>
    <row r="47" spans="1:17" x14ac:dyDescent="0.3">
      <c r="A47" s="8" t="s">
        <v>178</v>
      </c>
      <c r="B47" s="9" t="s">
        <v>712</v>
      </c>
      <c r="C47" s="9" t="s">
        <v>597</v>
      </c>
      <c r="D47" s="9">
        <v>10</v>
      </c>
      <c r="E47" s="9" t="s">
        <v>163</v>
      </c>
      <c r="F47" s="9" t="s">
        <v>204</v>
      </c>
      <c r="G47" s="10">
        <v>0.72152777777777788</v>
      </c>
      <c r="H47" s="9" t="s">
        <v>654</v>
      </c>
      <c r="I47" s="9">
        <v>3.48</v>
      </c>
      <c r="J47" s="9" t="s">
        <v>54</v>
      </c>
      <c r="K47" s="9">
        <v>185</v>
      </c>
      <c r="L47" s="9">
        <v>89</v>
      </c>
      <c r="M47" s="9" t="s">
        <v>22</v>
      </c>
      <c r="N47" s="9">
        <v>12</v>
      </c>
      <c r="O47" s="9" t="s">
        <v>23</v>
      </c>
      <c r="P47" s="9" t="s">
        <v>24</v>
      </c>
      <c r="Q47" s="11" t="str">
        <f t="shared" si="0"/>
        <v>None</v>
      </c>
    </row>
    <row r="48" spans="1:17" x14ac:dyDescent="0.3">
      <c r="A48" s="8" t="s">
        <v>180</v>
      </c>
      <c r="B48" s="9" t="s">
        <v>67</v>
      </c>
      <c r="C48" s="9" t="s">
        <v>597</v>
      </c>
      <c r="D48" s="9">
        <v>16</v>
      </c>
      <c r="E48" s="9" t="s">
        <v>713</v>
      </c>
      <c r="F48" s="9" t="s">
        <v>103</v>
      </c>
      <c r="G48" s="10">
        <v>0.63055555555555554</v>
      </c>
      <c r="H48" s="9" t="s">
        <v>714</v>
      </c>
      <c r="I48" s="9">
        <v>1.62</v>
      </c>
      <c r="J48" s="9" t="s">
        <v>118</v>
      </c>
      <c r="K48" s="9">
        <v>231</v>
      </c>
      <c r="L48" s="9">
        <v>65</v>
      </c>
      <c r="M48" s="9" t="s">
        <v>77</v>
      </c>
      <c r="N48" s="9">
        <v>16</v>
      </c>
      <c r="O48" s="9" t="s">
        <v>55</v>
      </c>
      <c r="P48" s="9" t="s">
        <v>78</v>
      </c>
      <c r="Q48" s="11" t="str">
        <f t="shared" si="0"/>
        <v>Restaurant Delay</v>
      </c>
    </row>
    <row r="49" spans="1:17" x14ac:dyDescent="0.3">
      <c r="A49" s="8" t="s">
        <v>183</v>
      </c>
      <c r="B49" s="9" t="s">
        <v>248</v>
      </c>
      <c r="C49" s="9" t="s">
        <v>597</v>
      </c>
      <c r="D49" s="9">
        <v>20</v>
      </c>
      <c r="E49" s="9" t="s">
        <v>571</v>
      </c>
      <c r="F49" s="9" t="s">
        <v>654</v>
      </c>
      <c r="G49" s="10">
        <v>0.74652777777777779</v>
      </c>
      <c r="H49" s="9" t="s">
        <v>715</v>
      </c>
      <c r="I49" s="9">
        <v>2.67</v>
      </c>
      <c r="J49" s="9" t="s">
        <v>160</v>
      </c>
      <c r="K49" s="9">
        <v>394</v>
      </c>
      <c r="L49" s="9">
        <v>77</v>
      </c>
      <c r="M49" s="9" t="s">
        <v>22</v>
      </c>
      <c r="N49" s="9">
        <v>17</v>
      </c>
      <c r="O49" s="9" t="s">
        <v>23</v>
      </c>
      <c r="P49" s="9" t="s">
        <v>24</v>
      </c>
      <c r="Q49" s="11" t="str">
        <f t="shared" si="0"/>
        <v>None</v>
      </c>
    </row>
    <row r="50" spans="1:17" x14ac:dyDescent="0.3">
      <c r="A50" s="8" t="s">
        <v>187</v>
      </c>
      <c r="B50" s="9" t="s">
        <v>676</v>
      </c>
      <c r="C50" s="9" t="s">
        <v>597</v>
      </c>
      <c r="D50" s="9">
        <v>19</v>
      </c>
      <c r="E50" s="9" t="s">
        <v>575</v>
      </c>
      <c r="F50" s="9" t="s">
        <v>716</v>
      </c>
      <c r="G50" s="10">
        <v>0.72638888888888886</v>
      </c>
      <c r="H50" s="9" t="s">
        <v>423</v>
      </c>
      <c r="I50" s="9">
        <v>2.93</v>
      </c>
      <c r="J50" s="9" t="s">
        <v>118</v>
      </c>
      <c r="K50" s="9">
        <v>345</v>
      </c>
      <c r="L50" s="9">
        <v>84</v>
      </c>
      <c r="M50" s="9" t="s">
        <v>77</v>
      </c>
      <c r="N50" s="9">
        <v>17</v>
      </c>
      <c r="O50" s="9" t="s">
        <v>23</v>
      </c>
      <c r="P50" s="9" t="s">
        <v>78</v>
      </c>
      <c r="Q50" s="11" t="str">
        <f t="shared" si="0"/>
        <v>Restaurant Delay</v>
      </c>
    </row>
    <row r="51" spans="1:17" x14ac:dyDescent="0.3">
      <c r="A51" s="8" t="s">
        <v>189</v>
      </c>
      <c r="B51" s="9" t="s">
        <v>281</v>
      </c>
      <c r="C51" s="9" t="s">
        <v>597</v>
      </c>
      <c r="D51" s="9">
        <v>13</v>
      </c>
      <c r="E51" s="9" t="s">
        <v>203</v>
      </c>
      <c r="F51" s="9" t="s">
        <v>98</v>
      </c>
      <c r="G51" s="10">
        <v>0.69097222222222232</v>
      </c>
      <c r="H51" s="9" t="s">
        <v>247</v>
      </c>
      <c r="I51" s="9">
        <v>5.85</v>
      </c>
      <c r="J51" s="9" t="s">
        <v>76</v>
      </c>
      <c r="K51" s="9">
        <v>329</v>
      </c>
      <c r="L51" s="9">
        <v>105</v>
      </c>
      <c r="M51" s="9" t="s">
        <v>22</v>
      </c>
      <c r="N51" s="9">
        <v>17</v>
      </c>
      <c r="O51" s="9" t="s">
        <v>55</v>
      </c>
      <c r="P51" s="9" t="s">
        <v>24</v>
      </c>
      <c r="Q51" s="11" t="str">
        <f t="shared" si="0"/>
        <v>None</v>
      </c>
    </row>
    <row r="52" spans="1:17" x14ac:dyDescent="0.3">
      <c r="A52" s="8" t="s">
        <v>190</v>
      </c>
      <c r="B52" s="9" t="s">
        <v>543</v>
      </c>
      <c r="C52" s="9" t="s">
        <v>597</v>
      </c>
      <c r="D52" s="9">
        <v>19</v>
      </c>
      <c r="E52" s="9" t="s">
        <v>393</v>
      </c>
      <c r="F52" s="9" t="s">
        <v>259</v>
      </c>
      <c r="G52" s="10">
        <v>0.49305555555555552</v>
      </c>
      <c r="H52" s="9" t="s">
        <v>352</v>
      </c>
      <c r="I52" s="9">
        <v>3.64</v>
      </c>
      <c r="J52" s="9" t="s">
        <v>69</v>
      </c>
      <c r="K52" s="9">
        <v>205</v>
      </c>
      <c r="L52" s="9">
        <v>90</v>
      </c>
      <c r="M52" s="9" t="s">
        <v>22</v>
      </c>
      <c r="N52" s="9">
        <v>16</v>
      </c>
      <c r="O52" s="9" t="s">
        <v>23</v>
      </c>
      <c r="P52" s="9" t="s">
        <v>24</v>
      </c>
      <c r="Q52" s="11" t="str">
        <f t="shared" si="0"/>
        <v>None</v>
      </c>
    </row>
    <row r="53" spans="1:17" x14ac:dyDescent="0.3">
      <c r="A53" s="8" t="s">
        <v>191</v>
      </c>
      <c r="B53" s="9" t="s">
        <v>268</v>
      </c>
      <c r="C53" s="9" t="s">
        <v>597</v>
      </c>
      <c r="D53" s="9">
        <v>16</v>
      </c>
      <c r="E53" s="9" t="s">
        <v>525</v>
      </c>
      <c r="F53" s="9" t="s">
        <v>251</v>
      </c>
      <c r="G53" s="10">
        <v>0.46666666666666662</v>
      </c>
      <c r="H53" s="9" t="s">
        <v>605</v>
      </c>
      <c r="I53" s="9">
        <v>3.44</v>
      </c>
      <c r="J53" s="9" t="s">
        <v>118</v>
      </c>
      <c r="K53" s="9">
        <v>160</v>
      </c>
      <c r="L53" s="9">
        <v>89</v>
      </c>
      <c r="M53" s="9" t="s">
        <v>22</v>
      </c>
      <c r="N53" s="9">
        <v>17</v>
      </c>
      <c r="O53" s="9" t="s">
        <v>23</v>
      </c>
      <c r="P53" s="9" t="s">
        <v>24</v>
      </c>
      <c r="Q53" s="11" t="str">
        <f t="shared" si="0"/>
        <v>None</v>
      </c>
    </row>
    <row r="54" spans="1:17" x14ac:dyDescent="0.3">
      <c r="A54" s="8" t="s">
        <v>195</v>
      </c>
      <c r="B54" s="9" t="s">
        <v>58</v>
      </c>
      <c r="C54" s="9" t="s">
        <v>597</v>
      </c>
      <c r="D54" s="9">
        <v>20</v>
      </c>
      <c r="E54" s="9" t="s">
        <v>117</v>
      </c>
      <c r="F54" s="9" t="s">
        <v>117</v>
      </c>
      <c r="G54" s="10">
        <v>0.49583333333333335</v>
      </c>
      <c r="H54" s="9" t="s">
        <v>73</v>
      </c>
      <c r="I54" s="9">
        <v>6.16</v>
      </c>
      <c r="J54" s="9" t="s">
        <v>90</v>
      </c>
      <c r="K54" s="9">
        <v>185</v>
      </c>
      <c r="L54" s="9">
        <v>113</v>
      </c>
      <c r="M54" s="9" t="s">
        <v>22</v>
      </c>
      <c r="N54" s="9">
        <v>12</v>
      </c>
      <c r="O54" s="9" t="s">
        <v>23</v>
      </c>
      <c r="P54" s="9" t="s">
        <v>24</v>
      </c>
      <c r="Q54" s="11" t="str">
        <f t="shared" si="0"/>
        <v>Distance</v>
      </c>
    </row>
    <row r="55" spans="1:17" x14ac:dyDescent="0.3">
      <c r="A55" s="8" t="s">
        <v>197</v>
      </c>
      <c r="B55" s="9" t="s">
        <v>48</v>
      </c>
      <c r="C55" s="9" t="s">
        <v>597</v>
      </c>
      <c r="D55" s="9">
        <v>13</v>
      </c>
      <c r="E55" s="9" t="s">
        <v>452</v>
      </c>
      <c r="F55" s="9" t="s">
        <v>42</v>
      </c>
      <c r="G55" s="10">
        <v>0.48819444444444443</v>
      </c>
      <c r="H55" s="9" t="s">
        <v>20</v>
      </c>
      <c r="I55" s="9">
        <v>7.58</v>
      </c>
      <c r="J55" s="9" t="s">
        <v>129</v>
      </c>
      <c r="K55" s="9">
        <v>382</v>
      </c>
      <c r="L55" s="9">
        <v>128</v>
      </c>
      <c r="M55" s="9" t="s">
        <v>22</v>
      </c>
      <c r="N55" s="9">
        <v>18</v>
      </c>
      <c r="O55" s="9" t="s">
        <v>23</v>
      </c>
      <c r="P55" s="9" t="s">
        <v>24</v>
      </c>
      <c r="Q55" s="11" t="str">
        <f t="shared" si="0"/>
        <v>Distance</v>
      </c>
    </row>
    <row r="56" spans="1:17" x14ac:dyDescent="0.3">
      <c r="A56" s="8" t="s">
        <v>201</v>
      </c>
      <c r="B56" s="9" t="s">
        <v>248</v>
      </c>
      <c r="C56" s="9" t="s">
        <v>594</v>
      </c>
      <c r="D56" s="9">
        <v>40</v>
      </c>
      <c r="E56" s="9" t="s">
        <v>128</v>
      </c>
      <c r="F56" s="9" t="s">
        <v>715</v>
      </c>
      <c r="G56" s="10">
        <v>0.76250000000000007</v>
      </c>
      <c r="H56" s="9" t="s">
        <v>718</v>
      </c>
      <c r="I56" s="9">
        <v>4.0199999999999996</v>
      </c>
      <c r="J56" s="9" t="s">
        <v>211</v>
      </c>
      <c r="K56" s="9">
        <v>180</v>
      </c>
      <c r="L56" s="9">
        <v>90</v>
      </c>
      <c r="M56" s="9" t="s">
        <v>22</v>
      </c>
      <c r="N56" s="9">
        <v>13</v>
      </c>
      <c r="O56" s="9" t="s">
        <v>23</v>
      </c>
      <c r="P56" s="9" t="s">
        <v>24</v>
      </c>
      <c r="Q56" s="11" t="str">
        <f t="shared" si="0"/>
        <v>Restaurant Delay</v>
      </c>
    </row>
    <row r="57" spans="1:17" x14ac:dyDescent="0.3">
      <c r="A57" s="8" t="s">
        <v>205</v>
      </c>
      <c r="B57" s="9" t="s">
        <v>620</v>
      </c>
      <c r="C57" s="9" t="s">
        <v>597</v>
      </c>
      <c r="D57" s="9">
        <v>18</v>
      </c>
      <c r="E57" s="9" t="s">
        <v>103</v>
      </c>
      <c r="F57" s="9" t="s">
        <v>103</v>
      </c>
      <c r="G57" s="10">
        <v>0.62986111111111109</v>
      </c>
      <c r="H57" s="9" t="s">
        <v>719</v>
      </c>
      <c r="I57" s="9">
        <v>4.7</v>
      </c>
      <c r="J57" s="9" t="s">
        <v>54</v>
      </c>
      <c r="K57" s="9">
        <v>212</v>
      </c>
      <c r="L57" s="9">
        <v>93</v>
      </c>
      <c r="M57" s="9" t="s">
        <v>77</v>
      </c>
      <c r="N57" s="9">
        <v>15</v>
      </c>
      <c r="O57" s="9" t="s">
        <v>55</v>
      </c>
      <c r="P57" s="9" t="s">
        <v>78</v>
      </c>
      <c r="Q57" s="11" t="str">
        <f t="shared" si="0"/>
        <v>Restaurant Delay</v>
      </c>
    </row>
    <row r="58" spans="1:17" x14ac:dyDescent="0.3">
      <c r="A58" s="8" t="s">
        <v>208</v>
      </c>
      <c r="B58" s="9" t="s">
        <v>702</v>
      </c>
      <c r="C58" s="9" t="s">
        <v>597</v>
      </c>
      <c r="D58" s="9">
        <v>12</v>
      </c>
      <c r="E58" s="9" t="s">
        <v>182</v>
      </c>
      <c r="F58" s="9" t="s">
        <v>720</v>
      </c>
      <c r="G58" s="10">
        <v>0.5756944444444444</v>
      </c>
      <c r="H58" s="9" t="s">
        <v>473</v>
      </c>
      <c r="I58" s="9">
        <v>2.91</v>
      </c>
      <c r="J58" s="9" t="s">
        <v>33</v>
      </c>
      <c r="K58" s="9">
        <v>264</v>
      </c>
      <c r="L58" s="9">
        <v>80</v>
      </c>
      <c r="M58" s="9" t="s">
        <v>22</v>
      </c>
      <c r="N58" s="9">
        <v>16</v>
      </c>
      <c r="O58" s="9" t="s">
        <v>23</v>
      </c>
      <c r="P58" s="9" t="s">
        <v>24</v>
      </c>
      <c r="Q58" s="11" t="str">
        <f t="shared" si="0"/>
        <v>None</v>
      </c>
    </row>
    <row r="59" spans="1:17" x14ac:dyDescent="0.3">
      <c r="A59" s="8" t="s">
        <v>212</v>
      </c>
      <c r="B59" s="9" t="s">
        <v>461</v>
      </c>
      <c r="C59" s="9" t="s">
        <v>597</v>
      </c>
      <c r="D59" s="9">
        <v>16</v>
      </c>
      <c r="E59" s="9" t="s">
        <v>30</v>
      </c>
      <c r="F59" s="9" t="s">
        <v>418</v>
      </c>
      <c r="G59" s="10">
        <v>0.8256944444444444</v>
      </c>
      <c r="H59" s="9" t="s">
        <v>433</v>
      </c>
      <c r="I59" s="9">
        <v>4.99</v>
      </c>
      <c r="J59" s="9" t="s">
        <v>49</v>
      </c>
      <c r="K59" s="9">
        <v>357</v>
      </c>
      <c r="L59" s="9">
        <v>107</v>
      </c>
      <c r="M59" s="9" t="s">
        <v>22</v>
      </c>
      <c r="N59" s="9">
        <v>8</v>
      </c>
      <c r="O59" s="9" t="s">
        <v>34</v>
      </c>
      <c r="P59" s="9" t="s">
        <v>24</v>
      </c>
      <c r="Q59" s="11" t="str">
        <f t="shared" si="0"/>
        <v>Traffic</v>
      </c>
    </row>
    <row r="60" spans="1:17" x14ac:dyDescent="0.3">
      <c r="A60" s="8" t="s">
        <v>216</v>
      </c>
      <c r="B60" s="9" t="s">
        <v>721</v>
      </c>
      <c r="C60" s="9" t="s">
        <v>594</v>
      </c>
      <c r="D60" s="9">
        <v>25</v>
      </c>
      <c r="E60" s="9" t="s">
        <v>350</v>
      </c>
      <c r="F60" s="9" t="s">
        <v>165</v>
      </c>
      <c r="G60" s="10">
        <v>0.45833333333333331</v>
      </c>
      <c r="H60" s="9" t="s">
        <v>131</v>
      </c>
      <c r="I60" s="9">
        <v>7.75</v>
      </c>
      <c r="J60" s="9" t="s">
        <v>62</v>
      </c>
      <c r="K60" s="9">
        <v>184</v>
      </c>
      <c r="L60" s="9">
        <v>129</v>
      </c>
      <c r="M60" s="9" t="s">
        <v>22</v>
      </c>
      <c r="N60" s="9">
        <v>16</v>
      </c>
      <c r="O60" s="9" t="s">
        <v>23</v>
      </c>
      <c r="P60" s="9" t="s">
        <v>24</v>
      </c>
      <c r="Q60" s="11" t="str">
        <f t="shared" si="0"/>
        <v>Restaurant Delay</v>
      </c>
    </row>
    <row r="61" spans="1:17" x14ac:dyDescent="0.3">
      <c r="A61" s="8" t="s">
        <v>219</v>
      </c>
      <c r="B61" s="9" t="s">
        <v>86</v>
      </c>
      <c r="C61" s="9" t="s">
        <v>597</v>
      </c>
      <c r="D61" s="9">
        <v>14</v>
      </c>
      <c r="E61" s="9" t="s">
        <v>88</v>
      </c>
      <c r="F61" s="9" t="s">
        <v>666</v>
      </c>
      <c r="G61" s="10">
        <v>0.78541666666666665</v>
      </c>
      <c r="H61" s="9" t="s">
        <v>344</v>
      </c>
      <c r="I61" s="9">
        <v>5.74</v>
      </c>
      <c r="J61" s="9" t="s">
        <v>76</v>
      </c>
      <c r="K61" s="9">
        <v>333</v>
      </c>
      <c r="L61" s="9">
        <v>111</v>
      </c>
      <c r="M61" s="9" t="s">
        <v>77</v>
      </c>
      <c r="N61" s="9">
        <v>15</v>
      </c>
      <c r="O61" s="9" t="s">
        <v>23</v>
      </c>
      <c r="P61" s="9" t="s">
        <v>78</v>
      </c>
      <c r="Q61" s="11" t="str">
        <f t="shared" si="0"/>
        <v>Restaurant Delay</v>
      </c>
    </row>
    <row r="62" spans="1:17" x14ac:dyDescent="0.3">
      <c r="A62" s="8" t="s">
        <v>224</v>
      </c>
      <c r="B62" s="9" t="s">
        <v>186</v>
      </c>
      <c r="C62" s="9" t="s">
        <v>597</v>
      </c>
      <c r="D62" s="9">
        <v>16</v>
      </c>
      <c r="E62" s="9" t="s">
        <v>722</v>
      </c>
      <c r="F62" s="9" t="s">
        <v>281</v>
      </c>
      <c r="G62" s="10">
        <v>0.68125000000000002</v>
      </c>
      <c r="H62" s="9" t="s">
        <v>723</v>
      </c>
      <c r="I62" s="9">
        <v>5.78</v>
      </c>
      <c r="J62" s="9" t="s">
        <v>40</v>
      </c>
      <c r="K62" s="9">
        <v>384</v>
      </c>
      <c r="L62" s="9">
        <v>107</v>
      </c>
      <c r="M62" s="9" t="s">
        <v>22</v>
      </c>
      <c r="N62" s="9">
        <v>17</v>
      </c>
      <c r="O62" s="9" t="s">
        <v>55</v>
      </c>
      <c r="P62" s="9" t="s">
        <v>24</v>
      </c>
      <c r="Q62" s="11" t="str">
        <f t="shared" si="0"/>
        <v>None</v>
      </c>
    </row>
    <row r="63" spans="1:17" x14ac:dyDescent="0.3">
      <c r="A63" s="8" t="s">
        <v>227</v>
      </c>
      <c r="B63" s="9" t="s">
        <v>653</v>
      </c>
      <c r="C63" s="9" t="s">
        <v>597</v>
      </c>
      <c r="D63" s="9">
        <v>10</v>
      </c>
      <c r="E63" s="9" t="s">
        <v>700</v>
      </c>
      <c r="F63" s="9" t="s">
        <v>608</v>
      </c>
      <c r="G63" s="10">
        <v>0.69652777777777775</v>
      </c>
      <c r="H63" s="9" t="s">
        <v>651</v>
      </c>
      <c r="I63" s="9">
        <v>5.19</v>
      </c>
      <c r="J63" s="9" t="s">
        <v>90</v>
      </c>
      <c r="K63" s="9">
        <v>268</v>
      </c>
      <c r="L63" s="9">
        <v>101</v>
      </c>
      <c r="M63" s="9" t="s">
        <v>22</v>
      </c>
      <c r="N63" s="9">
        <v>17</v>
      </c>
      <c r="O63" s="9" t="s">
        <v>55</v>
      </c>
      <c r="P63" s="9" t="s">
        <v>24</v>
      </c>
      <c r="Q63" s="11" t="str">
        <f t="shared" si="0"/>
        <v>None</v>
      </c>
    </row>
    <row r="64" spans="1:17" x14ac:dyDescent="0.3">
      <c r="A64" s="8" t="s">
        <v>231</v>
      </c>
      <c r="B64" s="9" t="s">
        <v>718</v>
      </c>
      <c r="C64" s="9" t="s">
        <v>597</v>
      </c>
      <c r="D64" s="9">
        <v>14</v>
      </c>
      <c r="E64" s="9" t="s">
        <v>395</v>
      </c>
      <c r="F64" s="9" t="s">
        <v>687</v>
      </c>
      <c r="G64" s="10">
        <v>0.79722222222222217</v>
      </c>
      <c r="H64" s="9" t="s">
        <v>110</v>
      </c>
      <c r="I64" s="9">
        <v>4.1500000000000004</v>
      </c>
      <c r="J64" s="9" t="s">
        <v>40</v>
      </c>
      <c r="K64" s="9">
        <v>150</v>
      </c>
      <c r="L64" s="9">
        <v>92</v>
      </c>
      <c r="M64" s="9" t="s">
        <v>22</v>
      </c>
      <c r="N64" s="9">
        <v>17</v>
      </c>
      <c r="O64" s="9" t="s">
        <v>23</v>
      </c>
      <c r="P64" s="9" t="s">
        <v>24</v>
      </c>
      <c r="Q64" s="11" t="str">
        <f t="shared" si="0"/>
        <v>None</v>
      </c>
    </row>
    <row r="65" spans="1:17" x14ac:dyDescent="0.3">
      <c r="A65" s="8" t="s">
        <v>232</v>
      </c>
      <c r="B65" s="9" t="s">
        <v>159</v>
      </c>
      <c r="C65" s="9" t="s">
        <v>597</v>
      </c>
      <c r="D65" s="9">
        <v>16</v>
      </c>
      <c r="E65" s="9" t="s">
        <v>557</v>
      </c>
      <c r="F65" s="9" t="s">
        <v>557</v>
      </c>
      <c r="G65" s="10">
        <v>0.8472222222222221</v>
      </c>
      <c r="H65" s="9" t="s">
        <v>724</v>
      </c>
      <c r="I65" s="9">
        <v>5.09</v>
      </c>
      <c r="J65" s="9" t="s">
        <v>160</v>
      </c>
      <c r="K65" s="9">
        <v>340</v>
      </c>
      <c r="L65" s="9">
        <v>114</v>
      </c>
      <c r="M65" s="9" t="s">
        <v>22</v>
      </c>
      <c r="N65" s="9">
        <v>10</v>
      </c>
      <c r="O65" s="9" t="s">
        <v>34</v>
      </c>
      <c r="P65" s="9" t="s">
        <v>24</v>
      </c>
      <c r="Q65" s="11" t="str">
        <f t="shared" si="0"/>
        <v>Traffic</v>
      </c>
    </row>
    <row r="66" spans="1:17" x14ac:dyDescent="0.3">
      <c r="A66" s="8" t="s">
        <v>235</v>
      </c>
      <c r="B66" s="9" t="s">
        <v>649</v>
      </c>
      <c r="C66" s="9" t="s">
        <v>597</v>
      </c>
      <c r="D66" s="9">
        <v>16</v>
      </c>
      <c r="E66" s="9" t="s">
        <v>636</v>
      </c>
      <c r="F66" s="9" t="s">
        <v>725</v>
      </c>
      <c r="G66" s="10">
        <v>0.63750000000000007</v>
      </c>
      <c r="H66" s="9" t="s">
        <v>438</v>
      </c>
      <c r="I66" s="9">
        <v>2.09</v>
      </c>
      <c r="J66" s="9" t="s">
        <v>33</v>
      </c>
      <c r="K66" s="9">
        <v>366</v>
      </c>
      <c r="L66" s="9">
        <v>70</v>
      </c>
      <c r="M66" s="9" t="s">
        <v>22</v>
      </c>
      <c r="N66" s="9">
        <v>20</v>
      </c>
      <c r="O66" s="9" t="s">
        <v>55</v>
      </c>
      <c r="P66" s="9" t="s">
        <v>24</v>
      </c>
      <c r="Q66" s="11" t="str">
        <f t="shared" si="0"/>
        <v>None</v>
      </c>
    </row>
    <row r="67" spans="1:17" x14ac:dyDescent="0.3">
      <c r="A67" s="8" t="s">
        <v>237</v>
      </c>
      <c r="B67" s="9" t="s">
        <v>583</v>
      </c>
      <c r="C67" s="9" t="s">
        <v>597</v>
      </c>
      <c r="D67" s="9">
        <v>19</v>
      </c>
      <c r="E67" s="9" t="s">
        <v>59</v>
      </c>
      <c r="F67" s="9" t="s">
        <v>726</v>
      </c>
      <c r="G67" s="10">
        <v>0.48680555555555555</v>
      </c>
      <c r="H67" s="9" t="s">
        <v>367</v>
      </c>
      <c r="I67" s="9">
        <v>7.39</v>
      </c>
      <c r="J67" s="9" t="s">
        <v>211</v>
      </c>
      <c r="K67" s="9">
        <v>289</v>
      </c>
      <c r="L67" s="9">
        <v>125</v>
      </c>
      <c r="M67" s="9" t="s">
        <v>22</v>
      </c>
      <c r="N67" s="9">
        <v>12</v>
      </c>
      <c r="O67" s="9" t="s">
        <v>23</v>
      </c>
      <c r="P67" s="9" t="s">
        <v>24</v>
      </c>
      <c r="Q67" s="11" t="str">
        <f t="shared" ref="Q67:Q130" si="1">IF(M67="Failed",
IF(O67="High","Traffic",
IF(N67&lt;10,"No Rider","Restaurant Delay")),
IF(((H67-B67)*1440 - (D67 + I67*5))&lt;=7,"None",
IF(O67="High","Traffic",
IF(N67&lt;10,"No Rider",
IF(C67="Bulk","Restaurant Delay",
IF(I67&gt;=6,"Distance","None"))))))</f>
        <v>Distance</v>
      </c>
    </row>
    <row r="68" spans="1:17" x14ac:dyDescent="0.3">
      <c r="A68" s="8" t="s">
        <v>240</v>
      </c>
      <c r="B68" s="9" t="s">
        <v>688</v>
      </c>
      <c r="C68" s="9" t="s">
        <v>597</v>
      </c>
      <c r="D68" s="9">
        <v>14</v>
      </c>
      <c r="E68" s="9" t="s">
        <v>176</v>
      </c>
      <c r="F68" s="9" t="s">
        <v>176</v>
      </c>
      <c r="G68" s="10">
        <v>0.53541666666666665</v>
      </c>
      <c r="H68" s="9" t="s">
        <v>92</v>
      </c>
      <c r="I68" s="9">
        <v>4.2699999999999996</v>
      </c>
      <c r="J68" s="9" t="s">
        <v>69</v>
      </c>
      <c r="K68" s="9">
        <v>175</v>
      </c>
      <c r="L68" s="9">
        <v>93</v>
      </c>
      <c r="M68" s="9" t="s">
        <v>22</v>
      </c>
      <c r="N68" s="9">
        <v>15</v>
      </c>
      <c r="O68" s="9" t="s">
        <v>23</v>
      </c>
      <c r="P68" s="9" t="s">
        <v>24</v>
      </c>
      <c r="Q68" s="11" t="str">
        <f t="shared" si="1"/>
        <v>None</v>
      </c>
    </row>
    <row r="69" spans="1:17" x14ac:dyDescent="0.3">
      <c r="A69" s="8" t="s">
        <v>242</v>
      </c>
      <c r="B69" s="9" t="s">
        <v>36</v>
      </c>
      <c r="C69" s="9" t="s">
        <v>594</v>
      </c>
      <c r="D69" s="9">
        <v>27</v>
      </c>
      <c r="E69" s="9" t="s">
        <v>275</v>
      </c>
      <c r="F69" s="9" t="s">
        <v>571</v>
      </c>
      <c r="G69" s="10">
        <v>0.74444444444444446</v>
      </c>
      <c r="H69" s="9" t="s">
        <v>128</v>
      </c>
      <c r="I69" s="9">
        <v>1.1399999999999999</v>
      </c>
      <c r="J69" s="9" t="s">
        <v>62</v>
      </c>
      <c r="K69" s="9">
        <v>191</v>
      </c>
      <c r="L69" s="9">
        <v>64</v>
      </c>
      <c r="M69" s="9" t="s">
        <v>22</v>
      </c>
      <c r="N69" s="9">
        <v>17</v>
      </c>
      <c r="O69" s="9" t="s">
        <v>23</v>
      </c>
      <c r="P69" s="9" t="s">
        <v>24</v>
      </c>
      <c r="Q69" s="11" t="str">
        <f t="shared" si="1"/>
        <v>Restaurant Delay</v>
      </c>
    </row>
    <row r="70" spans="1:17" x14ac:dyDescent="0.3">
      <c r="A70" s="8" t="s">
        <v>245</v>
      </c>
      <c r="B70" s="9" t="s">
        <v>601</v>
      </c>
      <c r="C70" s="9" t="s">
        <v>597</v>
      </c>
      <c r="D70" s="9">
        <v>14</v>
      </c>
      <c r="E70" s="9" t="s">
        <v>71</v>
      </c>
      <c r="F70" s="9" t="s">
        <v>712</v>
      </c>
      <c r="G70" s="10">
        <v>0.71319444444444446</v>
      </c>
      <c r="H70" s="9" t="s">
        <v>37</v>
      </c>
      <c r="I70" s="9">
        <v>2.46</v>
      </c>
      <c r="J70" s="9" t="s">
        <v>54</v>
      </c>
      <c r="K70" s="9">
        <v>235</v>
      </c>
      <c r="L70" s="9">
        <v>71</v>
      </c>
      <c r="M70" s="9" t="s">
        <v>22</v>
      </c>
      <c r="N70" s="9">
        <v>19</v>
      </c>
      <c r="O70" s="9" t="s">
        <v>55</v>
      </c>
      <c r="P70" s="9" t="s">
        <v>24</v>
      </c>
      <c r="Q70" s="11" t="str">
        <f t="shared" si="1"/>
        <v>None</v>
      </c>
    </row>
    <row r="71" spans="1:17" x14ac:dyDescent="0.3">
      <c r="A71" s="8" t="s">
        <v>246</v>
      </c>
      <c r="B71" s="9" t="s">
        <v>251</v>
      </c>
      <c r="C71" s="9" t="s">
        <v>594</v>
      </c>
      <c r="D71" s="9">
        <v>36</v>
      </c>
      <c r="E71" s="9" t="s">
        <v>393</v>
      </c>
      <c r="F71" s="9" t="s">
        <v>131</v>
      </c>
      <c r="G71" s="10">
        <v>0.49444444444444441</v>
      </c>
      <c r="H71" s="9" t="s">
        <v>20</v>
      </c>
      <c r="I71" s="9">
        <v>4.9000000000000004</v>
      </c>
      <c r="J71" s="9" t="s">
        <v>21</v>
      </c>
      <c r="K71" s="9">
        <v>317</v>
      </c>
      <c r="L71" s="9">
        <v>103</v>
      </c>
      <c r="M71" s="9" t="s">
        <v>22</v>
      </c>
      <c r="N71" s="9">
        <v>15</v>
      </c>
      <c r="O71" s="9" t="s">
        <v>23</v>
      </c>
      <c r="P71" s="9" t="s">
        <v>24</v>
      </c>
      <c r="Q71" s="11" t="str">
        <f t="shared" si="1"/>
        <v>Restaurant Delay</v>
      </c>
    </row>
    <row r="72" spans="1:17" x14ac:dyDescent="0.3">
      <c r="A72" s="8" t="s">
        <v>250</v>
      </c>
      <c r="B72" s="9" t="s">
        <v>234</v>
      </c>
      <c r="C72" s="9" t="s">
        <v>597</v>
      </c>
      <c r="D72" s="9">
        <v>13</v>
      </c>
      <c r="E72" s="9" t="s">
        <v>548</v>
      </c>
      <c r="F72" s="9" t="s">
        <v>322</v>
      </c>
      <c r="G72" s="10">
        <v>0.62291666666666667</v>
      </c>
      <c r="H72" s="9" t="s">
        <v>602</v>
      </c>
      <c r="I72" s="9">
        <v>3.8</v>
      </c>
      <c r="J72" s="9" t="s">
        <v>90</v>
      </c>
      <c r="K72" s="9">
        <v>371</v>
      </c>
      <c r="L72" s="9">
        <v>87</v>
      </c>
      <c r="M72" s="9" t="s">
        <v>22</v>
      </c>
      <c r="N72" s="9">
        <v>18</v>
      </c>
      <c r="O72" s="9" t="s">
        <v>55</v>
      </c>
      <c r="P72" s="9" t="s">
        <v>24</v>
      </c>
      <c r="Q72" s="11" t="str">
        <f t="shared" si="1"/>
        <v>None</v>
      </c>
    </row>
    <row r="73" spans="1:17" x14ac:dyDescent="0.3">
      <c r="A73" s="8" t="s">
        <v>252</v>
      </c>
      <c r="B73" s="9" t="s">
        <v>340</v>
      </c>
      <c r="C73" s="9" t="s">
        <v>597</v>
      </c>
      <c r="D73" s="9">
        <v>14</v>
      </c>
      <c r="E73" s="9" t="s">
        <v>328</v>
      </c>
      <c r="F73" s="9" t="s">
        <v>328</v>
      </c>
      <c r="G73" s="10">
        <v>0.66388888888888886</v>
      </c>
      <c r="H73" s="9" t="s">
        <v>503</v>
      </c>
      <c r="I73" s="9">
        <v>2.71</v>
      </c>
      <c r="J73" s="9" t="s">
        <v>90</v>
      </c>
      <c r="K73" s="9">
        <v>372</v>
      </c>
      <c r="L73" s="9">
        <v>77</v>
      </c>
      <c r="M73" s="9" t="s">
        <v>22</v>
      </c>
      <c r="N73" s="9">
        <v>19</v>
      </c>
      <c r="O73" s="9" t="s">
        <v>55</v>
      </c>
      <c r="P73" s="9" t="s">
        <v>24</v>
      </c>
      <c r="Q73" s="11" t="str">
        <f t="shared" si="1"/>
        <v>None</v>
      </c>
    </row>
    <row r="74" spans="1:17" x14ac:dyDescent="0.3">
      <c r="A74" s="8" t="s">
        <v>255</v>
      </c>
      <c r="B74" s="9" t="s">
        <v>485</v>
      </c>
      <c r="C74" s="9" t="s">
        <v>597</v>
      </c>
      <c r="D74" s="9">
        <v>16</v>
      </c>
      <c r="E74" s="9" t="s">
        <v>506</v>
      </c>
      <c r="F74" s="9" t="s">
        <v>581</v>
      </c>
      <c r="G74" s="10">
        <v>0.71805555555555545</v>
      </c>
      <c r="H74" s="9" t="s">
        <v>38</v>
      </c>
      <c r="I74" s="9">
        <v>2.33</v>
      </c>
      <c r="J74" s="9" t="s">
        <v>76</v>
      </c>
      <c r="K74" s="9">
        <v>298</v>
      </c>
      <c r="L74" s="9">
        <v>70</v>
      </c>
      <c r="M74" s="9" t="s">
        <v>22</v>
      </c>
      <c r="N74" s="9">
        <v>16</v>
      </c>
      <c r="O74" s="9" t="s">
        <v>55</v>
      </c>
      <c r="P74" s="9" t="s">
        <v>24</v>
      </c>
      <c r="Q74" s="11" t="str">
        <f t="shared" si="1"/>
        <v>None</v>
      </c>
    </row>
    <row r="75" spans="1:17" x14ac:dyDescent="0.3">
      <c r="A75" s="8" t="s">
        <v>256</v>
      </c>
      <c r="B75" s="9" t="s">
        <v>445</v>
      </c>
      <c r="C75" s="9" t="s">
        <v>597</v>
      </c>
      <c r="D75" s="9">
        <v>12</v>
      </c>
      <c r="E75" s="9" t="s">
        <v>556</v>
      </c>
      <c r="F75" s="9" t="s">
        <v>334</v>
      </c>
      <c r="G75" s="10">
        <v>0.84583333333333333</v>
      </c>
      <c r="H75" s="9" t="s">
        <v>728</v>
      </c>
      <c r="I75" s="9">
        <v>4.22</v>
      </c>
      <c r="J75" s="9" t="s">
        <v>76</v>
      </c>
      <c r="K75" s="9">
        <v>185</v>
      </c>
      <c r="L75" s="9">
        <v>101</v>
      </c>
      <c r="M75" s="9" t="s">
        <v>22</v>
      </c>
      <c r="N75" s="9">
        <v>12</v>
      </c>
      <c r="O75" s="9" t="s">
        <v>34</v>
      </c>
      <c r="P75" s="9" t="s">
        <v>24</v>
      </c>
      <c r="Q75" s="11" t="str">
        <f t="shared" si="1"/>
        <v>Traffic</v>
      </c>
    </row>
    <row r="76" spans="1:17" x14ac:dyDescent="0.3">
      <c r="A76" s="8" t="s">
        <v>260</v>
      </c>
      <c r="B76" s="9" t="s">
        <v>696</v>
      </c>
      <c r="C76" s="9" t="s">
        <v>597</v>
      </c>
      <c r="D76" s="9">
        <v>16</v>
      </c>
      <c r="E76" s="9" t="s">
        <v>668</v>
      </c>
      <c r="F76" s="9" t="s">
        <v>359</v>
      </c>
      <c r="G76" s="10">
        <v>0.68958333333333333</v>
      </c>
      <c r="H76" s="9" t="s">
        <v>677</v>
      </c>
      <c r="I76" s="9">
        <v>6.03</v>
      </c>
      <c r="J76" s="9" t="s">
        <v>129</v>
      </c>
      <c r="K76" s="9">
        <v>251</v>
      </c>
      <c r="L76" s="9">
        <v>105</v>
      </c>
      <c r="M76" s="9" t="s">
        <v>77</v>
      </c>
      <c r="N76" s="9">
        <v>16</v>
      </c>
      <c r="O76" s="9" t="s">
        <v>55</v>
      </c>
      <c r="P76" s="9" t="s">
        <v>78</v>
      </c>
      <c r="Q76" s="11" t="str">
        <f t="shared" si="1"/>
        <v>Restaurant Delay</v>
      </c>
    </row>
    <row r="77" spans="1:17" x14ac:dyDescent="0.3">
      <c r="A77" s="8" t="s">
        <v>263</v>
      </c>
      <c r="B77" s="9" t="s">
        <v>633</v>
      </c>
      <c r="C77" s="9" t="s">
        <v>597</v>
      </c>
      <c r="D77" s="9">
        <v>12</v>
      </c>
      <c r="E77" s="9" t="s">
        <v>729</v>
      </c>
      <c r="F77" s="9" t="s">
        <v>729</v>
      </c>
      <c r="G77" s="10">
        <v>0.77708333333333335</v>
      </c>
      <c r="H77" s="9" t="s">
        <v>396</v>
      </c>
      <c r="I77" s="9">
        <v>6.67</v>
      </c>
      <c r="J77" s="9" t="s">
        <v>99</v>
      </c>
      <c r="K77" s="9">
        <v>205</v>
      </c>
      <c r="L77" s="9">
        <v>116</v>
      </c>
      <c r="M77" s="9" t="s">
        <v>22</v>
      </c>
      <c r="N77" s="9">
        <v>12</v>
      </c>
      <c r="O77" s="9" t="s">
        <v>23</v>
      </c>
      <c r="P77" s="9" t="s">
        <v>24</v>
      </c>
      <c r="Q77" s="11" t="str">
        <f t="shared" si="1"/>
        <v>Distance</v>
      </c>
    </row>
    <row r="78" spans="1:17" x14ac:dyDescent="0.3">
      <c r="A78" s="8" t="s">
        <v>265</v>
      </c>
      <c r="B78" s="9" t="s">
        <v>634</v>
      </c>
      <c r="C78" s="9" t="s">
        <v>597</v>
      </c>
      <c r="D78" s="9">
        <v>19</v>
      </c>
      <c r="E78" s="9" t="s">
        <v>535</v>
      </c>
      <c r="F78" s="9" t="s">
        <v>536</v>
      </c>
      <c r="G78" s="10">
        <v>0.78333333333333344</v>
      </c>
      <c r="H78" s="9" t="s">
        <v>139</v>
      </c>
      <c r="I78" s="9">
        <v>5.64</v>
      </c>
      <c r="J78" s="9" t="s">
        <v>33</v>
      </c>
      <c r="K78" s="9">
        <v>327</v>
      </c>
      <c r="L78" s="9">
        <v>108</v>
      </c>
      <c r="M78" s="9" t="s">
        <v>22</v>
      </c>
      <c r="N78" s="9">
        <v>15</v>
      </c>
      <c r="O78" s="9" t="s">
        <v>23</v>
      </c>
      <c r="P78" s="9" t="s">
        <v>24</v>
      </c>
      <c r="Q78" s="11" t="str">
        <f t="shared" si="1"/>
        <v>None</v>
      </c>
    </row>
    <row r="79" spans="1:17" x14ac:dyDescent="0.3">
      <c r="A79" s="8" t="s">
        <v>269</v>
      </c>
      <c r="B79" s="9" t="s">
        <v>726</v>
      </c>
      <c r="C79" s="9" t="s">
        <v>597</v>
      </c>
      <c r="D79" s="9">
        <v>13</v>
      </c>
      <c r="E79" s="9" t="s">
        <v>27</v>
      </c>
      <c r="F79" s="9" t="s">
        <v>131</v>
      </c>
      <c r="G79" s="10">
        <v>0.49652777777777773</v>
      </c>
      <c r="H79" s="9" t="s">
        <v>279</v>
      </c>
      <c r="I79" s="9">
        <v>3.65</v>
      </c>
      <c r="J79" s="9" t="s">
        <v>211</v>
      </c>
      <c r="K79" s="9">
        <v>210</v>
      </c>
      <c r="L79" s="9">
        <v>89</v>
      </c>
      <c r="M79" s="9" t="s">
        <v>22</v>
      </c>
      <c r="N79" s="9">
        <v>15</v>
      </c>
      <c r="O79" s="9" t="s">
        <v>23</v>
      </c>
      <c r="P79" s="9" t="s">
        <v>24</v>
      </c>
      <c r="Q79" s="11" t="str">
        <f t="shared" si="1"/>
        <v>None</v>
      </c>
    </row>
    <row r="80" spans="1:17" x14ac:dyDescent="0.3">
      <c r="A80" s="8" t="s">
        <v>272</v>
      </c>
      <c r="B80" s="9" t="s">
        <v>423</v>
      </c>
      <c r="C80" s="9" t="s">
        <v>597</v>
      </c>
      <c r="D80" s="9">
        <v>16</v>
      </c>
      <c r="E80" s="9" t="s">
        <v>427</v>
      </c>
      <c r="F80" s="9" t="s">
        <v>264</v>
      </c>
      <c r="G80" s="10">
        <v>0.76111111111111107</v>
      </c>
      <c r="H80" s="9" t="s">
        <v>730</v>
      </c>
      <c r="I80" s="9">
        <v>6</v>
      </c>
      <c r="J80" s="9" t="s">
        <v>45</v>
      </c>
      <c r="K80" s="9">
        <v>178</v>
      </c>
      <c r="L80" s="9">
        <v>113</v>
      </c>
      <c r="M80" s="9" t="s">
        <v>22</v>
      </c>
      <c r="N80" s="9">
        <v>13</v>
      </c>
      <c r="O80" s="9" t="s">
        <v>23</v>
      </c>
      <c r="P80" s="9" t="s">
        <v>24</v>
      </c>
      <c r="Q80" s="11" t="str">
        <f t="shared" si="1"/>
        <v>Distance</v>
      </c>
    </row>
    <row r="81" spans="1:17" x14ac:dyDescent="0.3">
      <c r="A81" s="8" t="s">
        <v>274</v>
      </c>
      <c r="B81" s="9" t="s">
        <v>315</v>
      </c>
      <c r="C81" s="9" t="s">
        <v>594</v>
      </c>
      <c r="D81" s="9">
        <v>25</v>
      </c>
      <c r="E81" s="9" t="s">
        <v>258</v>
      </c>
      <c r="F81" s="9" t="s">
        <v>518</v>
      </c>
      <c r="G81" s="10">
        <v>0.49722222222222218</v>
      </c>
      <c r="H81" s="9" t="s">
        <v>279</v>
      </c>
      <c r="I81" s="9">
        <v>3.24</v>
      </c>
      <c r="J81" s="9" t="s">
        <v>45</v>
      </c>
      <c r="K81" s="9">
        <v>223</v>
      </c>
      <c r="L81" s="9">
        <v>85</v>
      </c>
      <c r="M81" s="9" t="s">
        <v>22</v>
      </c>
      <c r="N81" s="9">
        <v>18</v>
      </c>
      <c r="O81" s="9" t="s">
        <v>23</v>
      </c>
      <c r="P81" s="9" t="s">
        <v>24</v>
      </c>
      <c r="Q81" s="11" t="str">
        <f t="shared" si="1"/>
        <v>Restaurant Delay</v>
      </c>
    </row>
    <row r="82" spans="1:17" x14ac:dyDescent="0.3">
      <c r="A82" s="8" t="s">
        <v>276</v>
      </c>
      <c r="B82" s="9" t="s">
        <v>600</v>
      </c>
      <c r="C82" s="9" t="s">
        <v>597</v>
      </c>
      <c r="D82" s="9">
        <v>20</v>
      </c>
      <c r="E82" s="9" t="s">
        <v>581</v>
      </c>
      <c r="F82" s="9" t="s">
        <v>247</v>
      </c>
      <c r="G82" s="10">
        <v>0.71805555555555556</v>
      </c>
      <c r="H82" s="9" t="s">
        <v>716</v>
      </c>
      <c r="I82" s="9">
        <v>1.1100000000000001</v>
      </c>
      <c r="J82" s="9" t="s">
        <v>99</v>
      </c>
      <c r="K82" s="9">
        <v>288</v>
      </c>
      <c r="L82" s="9">
        <v>56</v>
      </c>
      <c r="M82" s="9" t="s">
        <v>22</v>
      </c>
      <c r="N82" s="9">
        <v>16</v>
      </c>
      <c r="O82" s="9" t="s">
        <v>55</v>
      </c>
      <c r="P82" s="9" t="s">
        <v>24</v>
      </c>
      <c r="Q82" s="11" t="str">
        <f t="shared" si="1"/>
        <v>None</v>
      </c>
    </row>
    <row r="83" spans="1:17" x14ac:dyDescent="0.3">
      <c r="A83" s="8" t="s">
        <v>280</v>
      </c>
      <c r="B83" s="9" t="s">
        <v>637</v>
      </c>
      <c r="C83" s="9" t="s">
        <v>597</v>
      </c>
      <c r="D83" s="9">
        <v>12</v>
      </c>
      <c r="E83" s="9" t="s">
        <v>61</v>
      </c>
      <c r="F83" s="9" t="s">
        <v>673</v>
      </c>
      <c r="G83" s="10">
        <v>0.83680555555555547</v>
      </c>
      <c r="H83" s="9" t="s">
        <v>731</v>
      </c>
      <c r="I83" s="9">
        <v>5.57</v>
      </c>
      <c r="J83" s="9" t="s">
        <v>21</v>
      </c>
      <c r="K83" s="9">
        <v>159</v>
      </c>
      <c r="L83" s="9">
        <v>117</v>
      </c>
      <c r="M83" s="9" t="s">
        <v>22</v>
      </c>
      <c r="N83" s="9">
        <v>8</v>
      </c>
      <c r="O83" s="9" t="s">
        <v>34</v>
      </c>
      <c r="P83" s="9" t="s">
        <v>24</v>
      </c>
      <c r="Q83" s="11" t="str">
        <f t="shared" si="1"/>
        <v>Traffic</v>
      </c>
    </row>
    <row r="84" spans="1:17" x14ac:dyDescent="0.3">
      <c r="A84" s="8" t="s">
        <v>282</v>
      </c>
      <c r="B84" s="9" t="s">
        <v>143</v>
      </c>
      <c r="C84" s="9" t="s">
        <v>597</v>
      </c>
      <c r="D84" s="9">
        <v>12</v>
      </c>
      <c r="E84" s="9" t="s">
        <v>477</v>
      </c>
      <c r="F84" s="9" t="s">
        <v>144</v>
      </c>
      <c r="G84" s="10">
        <v>0.47222222222222221</v>
      </c>
      <c r="H84" s="9" t="s">
        <v>277</v>
      </c>
      <c r="I84" s="9">
        <v>6.47</v>
      </c>
      <c r="J84" s="9" t="s">
        <v>122</v>
      </c>
      <c r="K84" s="9">
        <v>157</v>
      </c>
      <c r="L84" s="9">
        <v>116</v>
      </c>
      <c r="M84" s="9" t="s">
        <v>22</v>
      </c>
      <c r="N84" s="9">
        <v>12</v>
      </c>
      <c r="O84" s="9" t="s">
        <v>23</v>
      </c>
      <c r="P84" s="9" t="s">
        <v>24</v>
      </c>
      <c r="Q84" s="11" t="str">
        <f t="shared" si="1"/>
        <v>Distance</v>
      </c>
    </row>
    <row r="85" spans="1:17" x14ac:dyDescent="0.3">
      <c r="A85" s="8" t="s">
        <v>284</v>
      </c>
      <c r="B85" s="9" t="s">
        <v>405</v>
      </c>
      <c r="C85" s="9" t="s">
        <v>597</v>
      </c>
      <c r="D85" s="9">
        <v>20</v>
      </c>
      <c r="E85" s="9" t="s">
        <v>106</v>
      </c>
      <c r="F85" s="9" t="s">
        <v>73</v>
      </c>
      <c r="G85" s="10">
        <v>0.52638888888888891</v>
      </c>
      <c r="H85" s="9" t="s">
        <v>646</v>
      </c>
      <c r="I85" s="9">
        <v>5.64</v>
      </c>
      <c r="J85" s="9" t="s">
        <v>54</v>
      </c>
      <c r="K85" s="9">
        <v>218</v>
      </c>
      <c r="L85" s="9">
        <v>107</v>
      </c>
      <c r="M85" s="9" t="s">
        <v>22</v>
      </c>
      <c r="N85" s="9">
        <v>18</v>
      </c>
      <c r="O85" s="9" t="s">
        <v>23</v>
      </c>
      <c r="P85" s="9" t="s">
        <v>24</v>
      </c>
      <c r="Q85" s="11" t="str">
        <f t="shared" si="1"/>
        <v>None</v>
      </c>
    </row>
    <row r="86" spans="1:17" x14ac:dyDescent="0.3">
      <c r="A86" s="8" t="s">
        <v>286</v>
      </c>
      <c r="B86" s="9" t="s">
        <v>124</v>
      </c>
      <c r="C86" s="9" t="s">
        <v>597</v>
      </c>
      <c r="D86" s="9">
        <v>19</v>
      </c>
      <c r="E86" s="9" t="s">
        <v>102</v>
      </c>
      <c r="F86" s="9" t="s">
        <v>102</v>
      </c>
      <c r="G86" s="10">
        <v>0.60347222222222219</v>
      </c>
      <c r="H86" s="9" t="s">
        <v>322</v>
      </c>
      <c r="I86" s="9">
        <v>3.45</v>
      </c>
      <c r="J86" s="9" t="s">
        <v>126</v>
      </c>
      <c r="K86" s="9">
        <v>290</v>
      </c>
      <c r="L86" s="9">
        <v>80</v>
      </c>
      <c r="M86" s="9" t="s">
        <v>22</v>
      </c>
      <c r="N86" s="9">
        <v>19</v>
      </c>
      <c r="O86" s="9" t="s">
        <v>55</v>
      </c>
      <c r="P86" s="9" t="s">
        <v>24</v>
      </c>
      <c r="Q86" s="11" t="str">
        <f t="shared" si="1"/>
        <v>None</v>
      </c>
    </row>
    <row r="87" spans="1:17" x14ac:dyDescent="0.3">
      <c r="A87" s="8" t="s">
        <v>288</v>
      </c>
      <c r="B87" s="9" t="s">
        <v>147</v>
      </c>
      <c r="C87" s="9" t="s">
        <v>597</v>
      </c>
      <c r="D87" s="9">
        <v>18</v>
      </c>
      <c r="E87" s="9" t="s">
        <v>139</v>
      </c>
      <c r="F87" s="9" t="s">
        <v>89</v>
      </c>
      <c r="G87" s="10">
        <v>0.81736111111111109</v>
      </c>
      <c r="H87" s="9" t="s">
        <v>622</v>
      </c>
      <c r="I87" s="9">
        <v>1.49</v>
      </c>
      <c r="J87" s="9" t="s">
        <v>62</v>
      </c>
      <c r="K87" s="9">
        <v>334</v>
      </c>
      <c r="L87" s="9">
        <v>79</v>
      </c>
      <c r="M87" s="9" t="s">
        <v>22</v>
      </c>
      <c r="N87" s="9">
        <v>11</v>
      </c>
      <c r="O87" s="9" t="s">
        <v>34</v>
      </c>
      <c r="P87" s="9" t="s">
        <v>24</v>
      </c>
      <c r="Q87" s="11" t="str">
        <f t="shared" si="1"/>
        <v>Traffic</v>
      </c>
    </row>
    <row r="88" spans="1:17" x14ac:dyDescent="0.3">
      <c r="A88" s="8" t="s">
        <v>290</v>
      </c>
      <c r="B88" s="9" t="s">
        <v>120</v>
      </c>
      <c r="C88" s="9" t="s">
        <v>597</v>
      </c>
      <c r="D88" s="9">
        <v>11</v>
      </c>
      <c r="E88" s="9" t="s">
        <v>113</v>
      </c>
      <c r="F88" s="9" t="s">
        <v>734</v>
      </c>
      <c r="G88" s="10">
        <v>0.60763888888888895</v>
      </c>
      <c r="H88" s="9" t="s">
        <v>679</v>
      </c>
      <c r="I88" s="9">
        <v>7.43</v>
      </c>
      <c r="J88" s="9" t="s">
        <v>62</v>
      </c>
      <c r="K88" s="9">
        <v>163</v>
      </c>
      <c r="L88" s="9">
        <v>119</v>
      </c>
      <c r="M88" s="9" t="s">
        <v>22</v>
      </c>
      <c r="N88" s="9">
        <v>16</v>
      </c>
      <c r="O88" s="9" t="s">
        <v>55</v>
      </c>
      <c r="P88" s="9" t="s">
        <v>24</v>
      </c>
      <c r="Q88" s="11" t="str">
        <f t="shared" si="1"/>
        <v>Distance</v>
      </c>
    </row>
    <row r="89" spans="1:17" x14ac:dyDescent="0.3">
      <c r="A89" s="8" t="s">
        <v>293</v>
      </c>
      <c r="B89" s="9" t="s">
        <v>535</v>
      </c>
      <c r="C89" s="9" t="s">
        <v>597</v>
      </c>
      <c r="D89" s="9">
        <v>15</v>
      </c>
      <c r="E89" s="9" t="s">
        <v>735</v>
      </c>
      <c r="F89" s="9" t="s">
        <v>735</v>
      </c>
      <c r="G89" s="10">
        <v>0.79236111111111107</v>
      </c>
      <c r="H89" s="9" t="s">
        <v>737</v>
      </c>
      <c r="I89" s="9">
        <v>1.28</v>
      </c>
      <c r="J89" s="9" t="s">
        <v>40</v>
      </c>
      <c r="K89" s="9">
        <v>182</v>
      </c>
      <c r="L89" s="9">
        <v>64</v>
      </c>
      <c r="M89" s="9" t="s">
        <v>22</v>
      </c>
      <c r="N89" s="9">
        <v>12</v>
      </c>
      <c r="O89" s="9" t="s">
        <v>23</v>
      </c>
      <c r="P89" s="9" t="s">
        <v>24</v>
      </c>
      <c r="Q89" s="11" t="str">
        <f t="shared" si="1"/>
        <v>None</v>
      </c>
    </row>
    <row r="90" spans="1:17" x14ac:dyDescent="0.3">
      <c r="A90" s="8" t="s">
        <v>294</v>
      </c>
      <c r="B90" s="9" t="s">
        <v>463</v>
      </c>
      <c r="C90" s="9" t="s">
        <v>594</v>
      </c>
      <c r="D90" s="9">
        <v>33</v>
      </c>
      <c r="E90" s="9" t="s">
        <v>427</v>
      </c>
      <c r="F90" s="9" t="s">
        <v>568</v>
      </c>
      <c r="G90" s="10">
        <v>0.76041666666666674</v>
      </c>
      <c r="H90" s="9" t="s">
        <v>80</v>
      </c>
      <c r="I90" s="9">
        <v>6.6</v>
      </c>
      <c r="J90" s="9" t="s">
        <v>40</v>
      </c>
      <c r="K90" s="9">
        <v>370</v>
      </c>
      <c r="L90" s="9">
        <v>118</v>
      </c>
      <c r="M90" s="9" t="s">
        <v>22</v>
      </c>
      <c r="N90" s="9">
        <v>12</v>
      </c>
      <c r="O90" s="9" t="s">
        <v>23</v>
      </c>
      <c r="P90" s="9" t="s">
        <v>24</v>
      </c>
      <c r="Q90" s="11" t="str">
        <f t="shared" si="1"/>
        <v>Restaurant Delay</v>
      </c>
    </row>
    <row r="91" spans="1:17" x14ac:dyDescent="0.3">
      <c r="A91" s="8" t="s">
        <v>296</v>
      </c>
      <c r="B91" s="9" t="s">
        <v>165</v>
      </c>
      <c r="C91" s="9" t="s">
        <v>597</v>
      </c>
      <c r="D91" s="9">
        <v>15</v>
      </c>
      <c r="E91" s="9" t="s">
        <v>477</v>
      </c>
      <c r="F91" s="9" t="s">
        <v>144</v>
      </c>
      <c r="G91" s="10">
        <v>0.47083333333333333</v>
      </c>
      <c r="H91" s="9" t="s">
        <v>605</v>
      </c>
      <c r="I91" s="9">
        <v>2.82</v>
      </c>
      <c r="J91" s="9" t="s">
        <v>211</v>
      </c>
      <c r="K91" s="9">
        <v>369</v>
      </c>
      <c r="L91" s="9">
        <v>79</v>
      </c>
      <c r="M91" s="9" t="s">
        <v>22</v>
      </c>
      <c r="N91" s="9">
        <v>17</v>
      </c>
      <c r="O91" s="9" t="s">
        <v>23</v>
      </c>
      <c r="P91" s="9" t="s">
        <v>24</v>
      </c>
      <c r="Q91" s="11" t="str">
        <f t="shared" si="1"/>
        <v>None</v>
      </c>
    </row>
    <row r="92" spans="1:17" x14ac:dyDescent="0.3">
      <c r="A92" s="8" t="s">
        <v>298</v>
      </c>
      <c r="B92" s="9" t="s">
        <v>452</v>
      </c>
      <c r="C92" s="9" t="s">
        <v>597</v>
      </c>
      <c r="D92" s="9">
        <v>13</v>
      </c>
      <c r="E92" s="9" t="s">
        <v>717</v>
      </c>
      <c r="F92" s="9" t="s">
        <v>131</v>
      </c>
      <c r="G92" s="10">
        <v>0.49513888888888885</v>
      </c>
      <c r="H92" s="9" t="s">
        <v>658</v>
      </c>
      <c r="I92" s="9">
        <v>2.44</v>
      </c>
      <c r="J92" s="9" t="s">
        <v>69</v>
      </c>
      <c r="K92" s="9">
        <v>250</v>
      </c>
      <c r="L92" s="9">
        <v>78</v>
      </c>
      <c r="M92" s="9" t="s">
        <v>22</v>
      </c>
      <c r="N92" s="9">
        <v>16</v>
      </c>
      <c r="O92" s="9" t="s">
        <v>23</v>
      </c>
      <c r="P92" s="9" t="s">
        <v>24</v>
      </c>
      <c r="Q92" s="11" t="str">
        <f t="shared" si="1"/>
        <v>None</v>
      </c>
    </row>
    <row r="93" spans="1:17" x14ac:dyDescent="0.3">
      <c r="A93" s="8" t="s">
        <v>301</v>
      </c>
      <c r="B93" s="9" t="s">
        <v>680</v>
      </c>
      <c r="C93" s="9" t="s">
        <v>594</v>
      </c>
      <c r="D93" s="9">
        <v>39</v>
      </c>
      <c r="E93" s="9" t="s">
        <v>738</v>
      </c>
      <c r="F93" s="9" t="s">
        <v>735</v>
      </c>
      <c r="G93" s="10">
        <v>0.79513888888888884</v>
      </c>
      <c r="H93" s="9" t="s">
        <v>493</v>
      </c>
      <c r="I93" s="9">
        <v>6.04</v>
      </c>
      <c r="J93" s="9" t="s">
        <v>28</v>
      </c>
      <c r="K93" s="9">
        <v>287</v>
      </c>
      <c r="L93" s="9">
        <v>114</v>
      </c>
      <c r="M93" s="9" t="s">
        <v>22</v>
      </c>
      <c r="N93" s="9">
        <v>16</v>
      </c>
      <c r="O93" s="9" t="s">
        <v>23</v>
      </c>
      <c r="P93" s="9" t="s">
        <v>24</v>
      </c>
      <c r="Q93" s="11" t="str">
        <f t="shared" si="1"/>
        <v>Restaurant Delay</v>
      </c>
    </row>
    <row r="94" spans="1:17" x14ac:dyDescent="0.3">
      <c r="A94" s="8" t="s">
        <v>302</v>
      </c>
      <c r="B94" s="9" t="s">
        <v>511</v>
      </c>
      <c r="C94" s="9" t="s">
        <v>597</v>
      </c>
      <c r="D94" s="9">
        <v>13</v>
      </c>
      <c r="E94" s="9" t="s">
        <v>647</v>
      </c>
      <c r="F94" s="9" t="s">
        <v>647</v>
      </c>
      <c r="G94" s="10">
        <v>0.63541666666666663</v>
      </c>
      <c r="H94" s="9" t="s">
        <v>289</v>
      </c>
      <c r="I94" s="9">
        <v>4.6500000000000004</v>
      </c>
      <c r="J94" s="9" t="s">
        <v>69</v>
      </c>
      <c r="K94" s="9">
        <v>182</v>
      </c>
      <c r="L94" s="9">
        <v>94</v>
      </c>
      <c r="M94" s="9" t="s">
        <v>22</v>
      </c>
      <c r="N94" s="9">
        <v>17</v>
      </c>
      <c r="O94" s="9" t="s">
        <v>55</v>
      </c>
      <c r="P94" s="9" t="s">
        <v>24</v>
      </c>
      <c r="Q94" s="11" t="str">
        <f t="shared" si="1"/>
        <v>None</v>
      </c>
    </row>
    <row r="95" spans="1:17" x14ac:dyDescent="0.3">
      <c r="A95" s="8" t="s">
        <v>304</v>
      </c>
      <c r="B95" s="9" t="s">
        <v>442</v>
      </c>
      <c r="C95" s="9" t="s">
        <v>594</v>
      </c>
      <c r="D95" s="9">
        <v>35</v>
      </c>
      <c r="E95" s="9" t="s">
        <v>435</v>
      </c>
      <c r="F95" s="9" t="s">
        <v>26</v>
      </c>
      <c r="G95" s="10">
        <v>0.49305555555555558</v>
      </c>
      <c r="H95" s="9" t="s">
        <v>739</v>
      </c>
      <c r="I95" s="9">
        <v>3.23</v>
      </c>
      <c r="J95" s="9" t="s">
        <v>118</v>
      </c>
      <c r="K95" s="9">
        <v>341</v>
      </c>
      <c r="L95" s="9">
        <v>84</v>
      </c>
      <c r="M95" s="9" t="s">
        <v>22</v>
      </c>
      <c r="N95" s="9">
        <v>15</v>
      </c>
      <c r="O95" s="9" t="s">
        <v>23</v>
      </c>
      <c r="P95" s="9" t="s">
        <v>24</v>
      </c>
      <c r="Q95" s="11" t="str">
        <f t="shared" si="1"/>
        <v>Restaurant Delay</v>
      </c>
    </row>
    <row r="96" spans="1:17" x14ac:dyDescent="0.3">
      <c r="A96" s="8" t="s">
        <v>306</v>
      </c>
      <c r="B96" s="9" t="s">
        <v>740</v>
      </c>
      <c r="C96" s="9" t="s">
        <v>594</v>
      </c>
      <c r="D96" s="9">
        <v>28</v>
      </c>
      <c r="E96" s="9" t="s">
        <v>80</v>
      </c>
      <c r="F96" s="9" t="s">
        <v>672</v>
      </c>
      <c r="G96" s="10">
        <v>0.79999999999999993</v>
      </c>
      <c r="H96" s="9" t="s">
        <v>431</v>
      </c>
      <c r="I96" s="9">
        <v>7.4</v>
      </c>
      <c r="J96" s="9" t="s">
        <v>62</v>
      </c>
      <c r="K96" s="9">
        <v>296</v>
      </c>
      <c r="L96" s="9">
        <v>126</v>
      </c>
      <c r="M96" s="9" t="s">
        <v>22</v>
      </c>
      <c r="N96" s="9">
        <v>13</v>
      </c>
      <c r="O96" s="9" t="s">
        <v>23</v>
      </c>
      <c r="P96" s="9" t="s">
        <v>24</v>
      </c>
      <c r="Q96" s="11" t="str">
        <f t="shared" si="1"/>
        <v>Restaurant Delay</v>
      </c>
    </row>
    <row r="97" spans="1:17" x14ac:dyDescent="0.3">
      <c r="A97" s="8" t="s">
        <v>309</v>
      </c>
      <c r="B97" s="9" t="s">
        <v>632</v>
      </c>
      <c r="C97" s="9" t="s">
        <v>597</v>
      </c>
      <c r="D97" s="9">
        <v>17</v>
      </c>
      <c r="E97" s="9" t="s">
        <v>742</v>
      </c>
      <c r="F97" s="9" t="s">
        <v>228</v>
      </c>
      <c r="G97" s="10">
        <v>0.75208333333333344</v>
      </c>
      <c r="H97" s="9" t="s">
        <v>146</v>
      </c>
      <c r="I97" s="9">
        <v>7.49</v>
      </c>
      <c r="J97" s="9" t="s">
        <v>62</v>
      </c>
      <c r="K97" s="9">
        <v>386</v>
      </c>
      <c r="L97" s="9">
        <v>126</v>
      </c>
      <c r="M97" s="9" t="s">
        <v>22</v>
      </c>
      <c r="N97" s="9">
        <v>15</v>
      </c>
      <c r="O97" s="9" t="s">
        <v>23</v>
      </c>
      <c r="P97" s="9" t="s">
        <v>24</v>
      </c>
      <c r="Q97" s="11" t="str">
        <f t="shared" si="1"/>
        <v>Distance</v>
      </c>
    </row>
    <row r="98" spans="1:17" x14ac:dyDescent="0.3">
      <c r="A98" s="8" t="s">
        <v>310</v>
      </c>
      <c r="B98" s="9" t="s">
        <v>616</v>
      </c>
      <c r="C98" s="9" t="s">
        <v>597</v>
      </c>
      <c r="D98" s="9">
        <v>12</v>
      </c>
      <c r="E98" s="9" t="s">
        <v>592</v>
      </c>
      <c r="F98" s="9" t="s">
        <v>599</v>
      </c>
      <c r="G98" s="10">
        <v>0.84861111111111109</v>
      </c>
      <c r="H98" s="9" t="s">
        <v>743</v>
      </c>
      <c r="I98" s="9">
        <v>4.45</v>
      </c>
      <c r="J98" s="9" t="s">
        <v>69</v>
      </c>
      <c r="K98" s="9">
        <v>329</v>
      </c>
      <c r="L98" s="9">
        <v>107</v>
      </c>
      <c r="M98" s="9" t="s">
        <v>22</v>
      </c>
      <c r="N98" s="9">
        <v>8</v>
      </c>
      <c r="O98" s="9" t="s">
        <v>34</v>
      </c>
      <c r="P98" s="9" t="s">
        <v>24</v>
      </c>
      <c r="Q98" s="11" t="str">
        <f t="shared" si="1"/>
        <v>Traffic</v>
      </c>
    </row>
    <row r="99" spans="1:17" x14ac:dyDescent="0.3">
      <c r="A99" s="8" t="s">
        <v>312</v>
      </c>
      <c r="B99" s="9" t="s">
        <v>223</v>
      </c>
      <c r="C99" s="9" t="s">
        <v>597</v>
      </c>
      <c r="D99" s="9">
        <v>20</v>
      </c>
      <c r="E99" s="9" t="s">
        <v>358</v>
      </c>
      <c r="F99" s="9" t="s">
        <v>196</v>
      </c>
      <c r="G99" s="10">
        <v>0.67291666666666661</v>
      </c>
      <c r="H99" s="9" t="s">
        <v>744</v>
      </c>
      <c r="I99" s="9">
        <v>3.15</v>
      </c>
      <c r="J99" s="9" t="s">
        <v>28</v>
      </c>
      <c r="K99" s="9">
        <v>192</v>
      </c>
      <c r="L99" s="9">
        <v>79</v>
      </c>
      <c r="M99" s="9" t="s">
        <v>22</v>
      </c>
      <c r="N99" s="9">
        <v>17</v>
      </c>
      <c r="O99" s="9" t="s">
        <v>55</v>
      </c>
      <c r="P99" s="9" t="s">
        <v>24</v>
      </c>
      <c r="Q99" s="11" t="str">
        <f t="shared" si="1"/>
        <v>None</v>
      </c>
    </row>
    <row r="100" spans="1:17" x14ac:dyDescent="0.3">
      <c r="A100" s="8" t="s">
        <v>314</v>
      </c>
      <c r="B100" s="9" t="s">
        <v>20</v>
      </c>
      <c r="C100" s="9" t="s">
        <v>597</v>
      </c>
      <c r="D100" s="9">
        <v>13</v>
      </c>
      <c r="E100" s="9" t="s">
        <v>669</v>
      </c>
      <c r="F100" s="9" t="s">
        <v>745</v>
      </c>
      <c r="G100" s="10">
        <v>0.53541666666666665</v>
      </c>
      <c r="H100" s="9" t="s">
        <v>210</v>
      </c>
      <c r="I100" s="9">
        <v>7.35</v>
      </c>
      <c r="J100" s="9" t="s">
        <v>90</v>
      </c>
      <c r="K100" s="9">
        <v>390</v>
      </c>
      <c r="L100" s="9">
        <v>124</v>
      </c>
      <c r="M100" s="9" t="s">
        <v>22</v>
      </c>
      <c r="N100" s="9">
        <v>16</v>
      </c>
      <c r="O100" s="9" t="s">
        <v>23</v>
      </c>
      <c r="P100" s="9" t="s">
        <v>24</v>
      </c>
      <c r="Q100" s="11" t="str">
        <f t="shared" si="1"/>
        <v>Distance</v>
      </c>
    </row>
    <row r="101" spans="1:17" x14ac:dyDescent="0.3">
      <c r="A101" s="8" t="s">
        <v>317</v>
      </c>
      <c r="B101" s="9" t="s">
        <v>267</v>
      </c>
      <c r="C101" s="9" t="s">
        <v>597</v>
      </c>
      <c r="D101" s="9">
        <v>18</v>
      </c>
      <c r="E101" s="9" t="s">
        <v>525</v>
      </c>
      <c r="F101" s="9" t="s">
        <v>251</v>
      </c>
      <c r="G101" s="10">
        <v>0.46597222222222218</v>
      </c>
      <c r="H101" s="9" t="s">
        <v>17</v>
      </c>
      <c r="I101" s="9">
        <v>6</v>
      </c>
      <c r="J101" s="9" t="s">
        <v>69</v>
      </c>
      <c r="K101" s="9">
        <v>311</v>
      </c>
      <c r="L101" s="9">
        <v>112</v>
      </c>
      <c r="M101" s="9" t="s">
        <v>22</v>
      </c>
      <c r="N101" s="9">
        <v>17</v>
      </c>
      <c r="O101" s="9" t="s">
        <v>23</v>
      </c>
      <c r="P101" s="9" t="s">
        <v>24</v>
      </c>
      <c r="Q101" s="11" t="str">
        <f t="shared" si="1"/>
        <v>Distance</v>
      </c>
    </row>
    <row r="102" spans="1:17" x14ac:dyDescent="0.3">
      <c r="A102" s="8" t="s">
        <v>319</v>
      </c>
      <c r="B102" s="9" t="s">
        <v>492</v>
      </c>
      <c r="C102" s="9" t="s">
        <v>597</v>
      </c>
      <c r="D102" s="9">
        <v>11</v>
      </c>
      <c r="E102" s="9" t="s">
        <v>741</v>
      </c>
      <c r="F102" s="9" t="s">
        <v>147</v>
      </c>
      <c r="G102" s="10">
        <v>0.80069444444444449</v>
      </c>
      <c r="H102" s="9" t="s">
        <v>140</v>
      </c>
      <c r="I102" s="9">
        <v>5.5</v>
      </c>
      <c r="J102" s="9" t="s">
        <v>28</v>
      </c>
      <c r="K102" s="9">
        <v>260</v>
      </c>
      <c r="L102" s="9">
        <v>106</v>
      </c>
      <c r="M102" s="9" t="s">
        <v>22</v>
      </c>
      <c r="N102" s="9">
        <v>18</v>
      </c>
      <c r="O102" s="9" t="s">
        <v>23</v>
      </c>
      <c r="P102" s="9" t="s">
        <v>24</v>
      </c>
      <c r="Q102" s="11" t="str">
        <f t="shared" si="1"/>
        <v>None</v>
      </c>
    </row>
    <row r="103" spans="1:17" x14ac:dyDescent="0.3">
      <c r="A103" s="8" t="s">
        <v>321</v>
      </c>
      <c r="B103" s="9" t="s">
        <v>503</v>
      </c>
      <c r="C103" s="9" t="s">
        <v>597</v>
      </c>
      <c r="D103" s="9">
        <v>17</v>
      </c>
      <c r="E103" s="9" t="s">
        <v>744</v>
      </c>
      <c r="F103" s="9" t="s">
        <v>162</v>
      </c>
      <c r="G103" s="10">
        <v>0.69166666666666665</v>
      </c>
      <c r="H103" s="9" t="s">
        <v>213</v>
      </c>
      <c r="I103" s="9">
        <v>2.54</v>
      </c>
      <c r="J103" s="9" t="s">
        <v>160</v>
      </c>
      <c r="K103" s="9">
        <v>371</v>
      </c>
      <c r="L103" s="9">
        <v>72</v>
      </c>
      <c r="M103" s="9" t="s">
        <v>22</v>
      </c>
      <c r="N103" s="9">
        <v>20</v>
      </c>
      <c r="O103" s="9" t="s">
        <v>55</v>
      </c>
      <c r="P103" s="9" t="s">
        <v>24</v>
      </c>
      <c r="Q103" s="11" t="str">
        <f t="shared" si="1"/>
        <v>None</v>
      </c>
    </row>
    <row r="104" spans="1:17" x14ac:dyDescent="0.3">
      <c r="A104" s="8" t="s">
        <v>323</v>
      </c>
      <c r="B104" s="9" t="s">
        <v>214</v>
      </c>
      <c r="C104" s="9" t="s">
        <v>597</v>
      </c>
      <c r="D104" s="9">
        <v>15</v>
      </c>
      <c r="E104" s="9" t="s">
        <v>313</v>
      </c>
      <c r="F104" s="9" t="s">
        <v>313</v>
      </c>
      <c r="G104" s="10">
        <v>0.73263888888888884</v>
      </c>
      <c r="H104" s="9" t="s">
        <v>217</v>
      </c>
      <c r="I104" s="9">
        <v>6.59</v>
      </c>
      <c r="J104" s="9" t="s">
        <v>54</v>
      </c>
      <c r="K104" s="9">
        <v>399</v>
      </c>
      <c r="L104" s="9">
        <v>116</v>
      </c>
      <c r="M104" s="9" t="s">
        <v>22</v>
      </c>
      <c r="N104" s="9">
        <v>16</v>
      </c>
      <c r="O104" s="9" t="s">
        <v>23</v>
      </c>
      <c r="P104" s="9" t="s">
        <v>24</v>
      </c>
      <c r="Q104" s="11" t="str">
        <f t="shared" si="1"/>
        <v>Distance</v>
      </c>
    </row>
    <row r="105" spans="1:17" x14ac:dyDescent="0.3">
      <c r="A105" s="8" t="s">
        <v>325</v>
      </c>
      <c r="B105" s="9" t="s">
        <v>723</v>
      </c>
      <c r="C105" s="9" t="s">
        <v>597</v>
      </c>
      <c r="D105" s="9">
        <v>18</v>
      </c>
      <c r="E105" s="9" t="s">
        <v>214</v>
      </c>
      <c r="F105" s="9" t="s">
        <v>214</v>
      </c>
      <c r="G105" s="10">
        <v>0.71944444444444444</v>
      </c>
      <c r="H105" s="9" t="s">
        <v>692</v>
      </c>
      <c r="I105" s="9">
        <v>7.13</v>
      </c>
      <c r="J105" s="9" t="s">
        <v>118</v>
      </c>
      <c r="K105" s="9">
        <v>375</v>
      </c>
      <c r="L105" s="9">
        <v>120</v>
      </c>
      <c r="M105" s="9" t="s">
        <v>22</v>
      </c>
      <c r="N105" s="9">
        <v>18</v>
      </c>
      <c r="O105" s="9" t="s">
        <v>55</v>
      </c>
      <c r="P105" s="9" t="s">
        <v>24</v>
      </c>
      <c r="Q105" s="11" t="str">
        <f t="shared" si="1"/>
        <v>Distance</v>
      </c>
    </row>
    <row r="106" spans="1:17" x14ac:dyDescent="0.3">
      <c r="A106" s="8" t="s">
        <v>329</v>
      </c>
      <c r="B106" s="9" t="s">
        <v>616</v>
      </c>
      <c r="C106" s="9" t="s">
        <v>597</v>
      </c>
      <c r="D106" s="9">
        <v>10</v>
      </c>
      <c r="E106" s="9" t="s">
        <v>387</v>
      </c>
      <c r="F106" s="9" t="s">
        <v>592</v>
      </c>
      <c r="G106" s="10">
        <v>0.84166666666666667</v>
      </c>
      <c r="H106" s="9" t="s">
        <v>748</v>
      </c>
      <c r="I106" s="9">
        <v>1.04</v>
      </c>
      <c r="J106" s="9" t="s">
        <v>28</v>
      </c>
      <c r="K106" s="9">
        <v>314</v>
      </c>
      <c r="L106" s="9">
        <v>72</v>
      </c>
      <c r="M106" s="9" t="s">
        <v>22</v>
      </c>
      <c r="N106" s="9">
        <v>10</v>
      </c>
      <c r="O106" s="9" t="s">
        <v>34</v>
      </c>
      <c r="P106" s="9" t="s">
        <v>24</v>
      </c>
      <c r="Q106" s="11" t="str">
        <f t="shared" si="1"/>
        <v>Traffic</v>
      </c>
    </row>
    <row r="107" spans="1:17" x14ac:dyDescent="0.3">
      <c r="A107" s="8" t="s">
        <v>330</v>
      </c>
      <c r="B107" s="9" t="s">
        <v>521</v>
      </c>
      <c r="C107" s="9" t="s">
        <v>594</v>
      </c>
      <c r="D107" s="9">
        <v>34</v>
      </c>
      <c r="E107" s="9" t="s">
        <v>31</v>
      </c>
      <c r="F107" s="9" t="s">
        <v>149</v>
      </c>
      <c r="G107" s="10">
        <v>0.8354166666666667</v>
      </c>
      <c r="H107" s="9" t="s">
        <v>642</v>
      </c>
      <c r="I107" s="9">
        <v>7.8</v>
      </c>
      <c r="J107" s="9" t="s">
        <v>211</v>
      </c>
      <c r="K107" s="9">
        <v>291</v>
      </c>
      <c r="L107" s="9">
        <v>138</v>
      </c>
      <c r="M107" s="9" t="s">
        <v>22</v>
      </c>
      <c r="N107" s="9">
        <v>12</v>
      </c>
      <c r="O107" s="9" t="s">
        <v>34</v>
      </c>
      <c r="P107" s="9" t="s">
        <v>24</v>
      </c>
      <c r="Q107" s="11" t="str">
        <f t="shared" si="1"/>
        <v>Traffic</v>
      </c>
    </row>
    <row r="108" spans="1:17" x14ac:dyDescent="0.3">
      <c r="A108" s="8" t="s">
        <v>333</v>
      </c>
      <c r="B108" s="9" t="s">
        <v>749</v>
      </c>
      <c r="C108" s="9" t="s">
        <v>597</v>
      </c>
      <c r="D108" s="9">
        <v>18</v>
      </c>
      <c r="E108" s="9" t="s">
        <v>667</v>
      </c>
      <c r="F108" s="9" t="s">
        <v>461</v>
      </c>
      <c r="G108" s="10">
        <v>0.80555555555555558</v>
      </c>
      <c r="H108" s="9" t="s">
        <v>307</v>
      </c>
      <c r="I108" s="9">
        <v>5.41</v>
      </c>
      <c r="J108" s="9" t="s">
        <v>118</v>
      </c>
      <c r="K108" s="9">
        <v>183</v>
      </c>
      <c r="L108" s="9">
        <v>108</v>
      </c>
      <c r="M108" s="9" t="s">
        <v>22</v>
      </c>
      <c r="N108" s="9">
        <v>15</v>
      </c>
      <c r="O108" s="9" t="s">
        <v>23</v>
      </c>
      <c r="P108" s="9" t="s">
        <v>24</v>
      </c>
      <c r="Q108" s="11" t="str">
        <f t="shared" si="1"/>
        <v>None</v>
      </c>
    </row>
    <row r="109" spans="1:17" x14ac:dyDescent="0.3">
      <c r="A109" s="8" t="s">
        <v>336</v>
      </c>
      <c r="B109" s="9" t="s">
        <v>624</v>
      </c>
      <c r="C109" s="9" t="s">
        <v>597</v>
      </c>
      <c r="D109" s="9">
        <v>18</v>
      </c>
      <c r="E109" s="9" t="s">
        <v>39</v>
      </c>
      <c r="F109" s="9" t="s">
        <v>39</v>
      </c>
      <c r="G109" s="10">
        <v>0.74583333333333335</v>
      </c>
      <c r="H109" s="9" t="s">
        <v>612</v>
      </c>
      <c r="I109" s="9">
        <v>2.77</v>
      </c>
      <c r="J109" s="9" t="s">
        <v>69</v>
      </c>
      <c r="K109" s="9">
        <v>338</v>
      </c>
      <c r="L109" s="9">
        <v>78</v>
      </c>
      <c r="M109" s="9" t="s">
        <v>22</v>
      </c>
      <c r="N109" s="9">
        <v>18</v>
      </c>
      <c r="O109" s="9" t="s">
        <v>23</v>
      </c>
      <c r="P109" s="9" t="s">
        <v>24</v>
      </c>
      <c r="Q109" s="11" t="str">
        <f t="shared" si="1"/>
        <v>None</v>
      </c>
    </row>
    <row r="110" spans="1:17" x14ac:dyDescent="0.3">
      <c r="A110" s="8" t="s">
        <v>339</v>
      </c>
      <c r="B110" s="9" t="s">
        <v>331</v>
      </c>
      <c r="C110" s="9" t="s">
        <v>597</v>
      </c>
      <c r="D110" s="9">
        <v>16</v>
      </c>
      <c r="E110" s="9" t="s">
        <v>268</v>
      </c>
      <c r="F110" s="9" t="s">
        <v>268</v>
      </c>
      <c r="G110" s="10">
        <v>0.45555555555555555</v>
      </c>
      <c r="H110" s="9" t="s">
        <v>393</v>
      </c>
      <c r="I110" s="9">
        <v>7.27</v>
      </c>
      <c r="J110" s="9" t="s">
        <v>62</v>
      </c>
      <c r="K110" s="9">
        <v>386</v>
      </c>
      <c r="L110" s="9">
        <v>127</v>
      </c>
      <c r="M110" s="9" t="s">
        <v>22</v>
      </c>
      <c r="N110" s="9">
        <v>14</v>
      </c>
      <c r="O110" s="9" t="s">
        <v>23</v>
      </c>
      <c r="P110" s="9" t="s">
        <v>24</v>
      </c>
      <c r="Q110" s="11" t="str">
        <f t="shared" si="1"/>
        <v>Distance</v>
      </c>
    </row>
    <row r="111" spans="1:17" x14ac:dyDescent="0.3">
      <c r="A111" s="8" t="s">
        <v>341</v>
      </c>
      <c r="B111" s="9" t="s">
        <v>750</v>
      </c>
      <c r="C111" s="9" t="s">
        <v>597</v>
      </c>
      <c r="D111" s="9">
        <v>17</v>
      </c>
      <c r="E111" s="9" t="s">
        <v>751</v>
      </c>
      <c r="F111" s="9" t="s">
        <v>721</v>
      </c>
      <c r="G111" s="10">
        <v>0.43680555555555556</v>
      </c>
      <c r="H111" s="9" t="s">
        <v>347</v>
      </c>
      <c r="I111" s="9">
        <v>5.45</v>
      </c>
      <c r="J111" s="9" t="s">
        <v>76</v>
      </c>
      <c r="K111" s="9">
        <v>249</v>
      </c>
      <c r="L111" s="9">
        <v>106</v>
      </c>
      <c r="M111" s="9" t="s">
        <v>22</v>
      </c>
      <c r="N111" s="9">
        <v>14</v>
      </c>
      <c r="O111" s="9" t="s">
        <v>23</v>
      </c>
      <c r="P111" s="9" t="s">
        <v>24</v>
      </c>
      <c r="Q111" s="11" t="str">
        <f t="shared" si="1"/>
        <v>None</v>
      </c>
    </row>
    <row r="112" spans="1:17" x14ac:dyDescent="0.3">
      <c r="A112" s="8" t="s">
        <v>343</v>
      </c>
      <c r="B112" s="9" t="s">
        <v>705</v>
      </c>
      <c r="C112" s="9" t="s">
        <v>597</v>
      </c>
      <c r="D112" s="9">
        <v>12</v>
      </c>
      <c r="E112" s="9" t="s">
        <v>105</v>
      </c>
      <c r="F112" s="9" t="s">
        <v>193</v>
      </c>
      <c r="G112" s="10">
        <v>0.50902777777777775</v>
      </c>
      <c r="H112" s="9" t="s">
        <v>610</v>
      </c>
      <c r="I112" s="9">
        <v>1.1299999999999999</v>
      </c>
      <c r="J112" s="9" t="s">
        <v>65</v>
      </c>
      <c r="K112" s="9">
        <v>244</v>
      </c>
      <c r="L112" s="9">
        <v>62</v>
      </c>
      <c r="M112" s="9" t="s">
        <v>22</v>
      </c>
      <c r="N112" s="9">
        <v>15</v>
      </c>
      <c r="O112" s="9" t="s">
        <v>23</v>
      </c>
      <c r="P112" s="9" t="s">
        <v>24</v>
      </c>
      <c r="Q112" s="11" t="str">
        <f t="shared" si="1"/>
        <v>None</v>
      </c>
    </row>
    <row r="113" spans="1:17" x14ac:dyDescent="0.3">
      <c r="A113" s="8" t="s">
        <v>345</v>
      </c>
      <c r="B113" s="9" t="s">
        <v>384</v>
      </c>
      <c r="C113" s="9" t="s">
        <v>597</v>
      </c>
      <c r="D113" s="9">
        <v>16</v>
      </c>
      <c r="E113" s="9" t="s">
        <v>222</v>
      </c>
      <c r="F113" s="9" t="s">
        <v>636</v>
      </c>
      <c r="G113" s="10">
        <v>0.63472222222222219</v>
      </c>
      <c r="H113" s="9" t="s">
        <v>603</v>
      </c>
      <c r="I113" s="9">
        <v>3.01</v>
      </c>
      <c r="J113" s="9" t="s">
        <v>129</v>
      </c>
      <c r="K113" s="9">
        <v>260</v>
      </c>
      <c r="L113" s="9">
        <v>79</v>
      </c>
      <c r="M113" s="9" t="s">
        <v>22</v>
      </c>
      <c r="N113" s="9">
        <v>17</v>
      </c>
      <c r="O113" s="9" t="s">
        <v>55</v>
      </c>
      <c r="P113" s="9" t="s">
        <v>24</v>
      </c>
      <c r="Q113" s="11" t="str">
        <f t="shared" si="1"/>
        <v>None</v>
      </c>
    </row>
    <row r="114" spans="1:17" x14ac:dyDescent="0.3">
      <c r="A114" s="8" t="s">
        <v>348</v>
      </c>
      <c r="B114" s="9" t="s">
        <v>715</v>
      </c>
      <c r="C114" s="9" t="s">
        <v>597</v>
      </c>
      <c r="D114" s="9">
        <v>17</v>
      </c>
      <c r="E114" s="9" t="s">
        <v>285</v>
      </c>
      <c r="F114" s="9" t="s">
        <v>285</v>
      </c>
      <c r="G114" s="10">
        <v>0.77777777777777779</v>
      </c>
      <c r="H114" s="9" t="s">
        <v>741</v>
      </c>
      <c r="I114" s="9">
        <v>3.98</v>
      </c>
      <c r="J114" s="9" t="s">
        <v>65</v>
      </c>
      <c r="K114" s="9">
        <v>397</v>
      </c>
      <c r="L114" s="9">
        <v>94</v>
      </c>
      <c r="M114" s="9" t="s">
        <v>22</v>
      </c>
      <c r="N114" s="9">
        <v>15</v>
      </c>
      <c r="O114" s="9" t="s">
        <v>23</v>
      </c>
      <c r="P114" s="9" t="s">
        <v>24</v>
      </c>
      <c r="Q114" s="11" t="str">
        <f t="shared" si="1"/>
        <v>None</v>
      </c>
    </row>
    <row r="115" spans="1:17" x14ac:dyDescent="0.3">
      <c r="A115" s="8" t="s">
        <v>351</v>
      </c>
      <c r="B115" s="9" t="s">
        <v>495</v>
      </c>
      <c r="C115" s="9" t="s">
        <v>597</v>
      </c>
      <c r="D115" s="9">
        <v>11</v>
      </c>
      <c r="E115" s="9" t="s">
        <v>226</v>
      </c>
      <c r="F115" s="9" t="s">
        <v>226</v>
      </c>
      <c r="G115" s="10">
        <v>0.58958333333333335</v>
      </c>
      <c r="H115" s="9" t="s">
        <v>121</v>
      </c>
      <c r="I115" s="9">
        <v>4.3600000000000003</v>
      </c>
      <c r="J115" s="9" t="s">
        <v>33</v>
      </c>
      <c r="K115" s="9">
        <v>335</v>
      </c>
      <c r="L115" s="9">
        <v>94</v>
      </c>
      <c r="M115" s="9" t="s">
        <v>22</v>
      </c>
      <c r="N115" s="9">
        <v>14</v>
      </c>
      <c r="O115" s="9" t="s">
        <v>23</v>
      </c>
      <c r="P115" s="9" t="s">
        <v>24</v>
      </c>
      <c r="Q115" s="11" t="str">
        <f t="shared" si="1"/>
        <v>None</v>
      </c>
    </row>
    <row r="116" spans="1:17" x14ac:dyDescent="0.3">
      <c r="A116" s="8" t="s">
        <v>353</v>
      </c>
      <c r="B116" s="9" t="s">
        <v>678</v>
      </c>
      <c r="C116" s="9" t="s">
        <v>594</v>
      </c>
      <c r="D116" s="9">
        <v>26</v>
      </c>
      <c r="E116" s="9" t="s">
        <v>349</v>
      </c>
      <c r="F116" s="9" t="s">
        <v>690</v>
      </c>
      <c r="G116" s="10">
        <v>0.44305555555555554</v>
      </c>
      <c r="H116" s="9" t="s">
        <v>116</v>
      </c>
      <c r="I116" s="9">
        <v>4.74</v>
      </c>
      <c r="J116" s="9" t="s">
        <v>49</v>
      </c>
      <c r="K116" s="9">
        <v>398</v>
      </c>
      <c r="L116" s="9">
        <v>98</v>
      </c>
      <c r="M116" s="9" t="s">
        <v>77</v>
      </c>
      <c r="N116" s="9">
        <v>16</v>
      </c>
      <c r="O116" s="9" t="s">
        <v>23</v>
      </c>
      <c r="P116" s="9" t="s">
        <v>78</v>
      </c>
      <c r="Q116" s="11" t="str">
        <f t="shared" si="1"/>
        <v>Restaurant Delay</v>
      </c>
    </row>
    <row r="117" spans="1:17" x14ac:dyDescent="0.3">
      <c r="A117" s="8" t="s">
        <v>356</v>
      </c>
      <c r="B117" s="9" t="s">
        <v>471</v>
      </c>
      <c r="C117" s="9" t="s">
        <v>597</v>
      </c>
      <c r="D117" s="9">
        <v>20</v>
      </c>
      <c r="E117" s="9" t="s">
        <v>493</v>
      </c>
      <c r="F117" s="9" t="s">
        <v>616</v>
      </c>
      <c r="G117" s="10">
        <v>0.8354166666666667</v>
      </c>
      <c r="H117" s="9" t="s">
        <v>623</v>
      </c>
      <c r="I117" s="9">
        <v>5.79</v>
      </c>
      <c r="J117" s="9" t="s">
        <v>99</v>
      </c>
      <c r="K117" s="9">
        <v>353</v>
      </c>
      <c r="L117" s="9">
        <v>116</v>
      </c>
      <c r="M117" s="9" t="s">
        <v>22</v>
      </c>
      <c r="N117" s="9">
        <v>8</v>
      </c>
      <c r="O117" s="9" t="s">
        <v>34</v>
      </c>
      <c r="P117" s="9" t="s">
        <v>24</v>
      </c>
      <c r="Q117" s="11" t="str">
        <f t="shared" si="1"/>
        <v>Traffic</v>
      </c>
    </row>
    <row r="118" spans="1:17" x14ac:dyDescent="0.3">
      <c r="A118" s="8" t="s">
        <v>357</v>
      </c>
      <c r="B118" s="9" t="s">
        <v>752</v>
      </c>
      <c r="C118" s="9" t="s">
        <v>597</v>
      </c>
      <c r="D118" s="9">
        <v>11</v>
      </c>
      <c r="E118" s="9" t="s">
        <v>225</v>
      </c>
      <c r="F118" s="9" t="s">
        <v>261</v>
      </c>
      <c r="G118" s="10">
        <v>0.58124999999999993</v>
      </c>
      <c r="H118" s="9" t="s">
        <v>120</v>
      </c>
      <c r="I118" s="9">
        <v>1.87</v>
      </c>
      <c r="J118" s="9" t="s">
        <v>122</v>
      </c>
      <c r="K118" s="9">
        <v>280</v>
      </c>
      <c r="L118" s="9">
        <v>71</v>
      </c>
      <c r="M118" s="9" t="s">
        <v>22</v>
      </c>
      <c r="N118" s="9">
        <v>18</v>
      </c>
      <c r="O118" s="9" t="s">
        <v>23</v>
      </c>
      <c r="P118" s="9" t="s">
        <v>24</v>
      </c>
      <c r="Q118" s="11" t="str">
        <f t="shared" si="1"/>
        <v>None</v>
      </c>
    </row>
    <row r="119" spans="1:17" x14ac:dyDescent="0.3">
      <c r="A119" s="8" t="s">
        <v>360</v>
      </c>
      <c r="B119" s="9" t="s">
        <v>608</v>
      </c>
      <c r="C119" s="9" t="s">
        <v>594</v>
      </c>
      <c r="D119" s="9">
        <v>40</v>
      </c>
      <c r="E119" s="9" t="s">
        <v>716</v>
      </c>
      <c r="F119" s="9" t="s">
        <v>747</v>
      </c>
      <c r="G119" s="10">
        <v>0.73194444444444451</v>
      </c>
      <c r="H119" s="9" t="s">
        <v>753</v>
      </c>
      <c r="I119" s="9">
        <v>3.7</v>
      </c>
      <c r="J119" s="9" t="s">
        <v>54</v>
      </c>
      <c r="K119" s="9">
        <v>283</v>
      </c>
      <c r="L119" s="9">
        <v>83</v>
      </c>
      <c r="M119" s="9" t="s">
        <v>22</v>
      </c>
      <c r="N119" s="9">
        <v>15</v>
      </c>
      <c r="O119" s="9" t="s">
        <v>55</v>
      </c>
      <c r="P119" s="9" t="s">
        <v>24</v>
      </c>
      <c r="Q119" s="11" t="str">
        <f t="shared" si="1"/>
        <v>Restaurant Delay</v>
      </c>
    </row>
    <row r="120" spans="1:17" x14ac:dyDescent="0.3">
      <c r="A120" s="8" t="s">
        <v>362</v>
      </c>
      <c r="B120" s="9" t="s">
        <v>712</v>
      </c>
      <c r="C120" s="9" t="s">
        <v>597</v>
      </c>
      <c r="D120" s="9">
        <v>18</v>
      </c>
      <c r="E120" s="9" t="s">
        <v>509</v>
      </c>
      <c r="F120" s="9" t="s">
        <v>703</v>
      </c>
      <c r="G120" s="10">
        <v>0.72986111111111118</v>
      </c>
      <c r="H120" s="9" t="s">
        <v>576</v>
      </c>
      <c r="I120" s="9">
        <v>5.44</v>
      </c>
      <c r="J120" s="9" t="s">
        <v>129</v>
      </c>
      <c r="K120" s="9">
        <v>309</v>
      </c>
      <c r="L120" s="9">
        <v>107</v>
      </c>
      <c r="M120" s="9" t="s">
        <v>22</v>
      </c>
      <c r="N120" s="9">
        <v>14</v>
      </c>
      <c r="O120" s="9" t="s">
        <v>23</v>
      </c>
      <c r="P120" s="9" t="s">
        <v>24</v>
      </c>
      <c r="Q120" s="11" t="str">
        <f t="shared" si="1"/>
        <v>None</v>
      </c>
    </row>
    <row r="121" spans="1:17" x14ac:dyDescent="0.3">
      <c r="A121" s="8" t="s">
        <v>364</v>
      </c>
      <c r="B121" s="9" t="s">
        <v>715</v>
      </c>
      <c r="C121" s="9" t="s">
        <v>594</v>
      </c>
      <c r="D121" s="9">
        <v>36</v>
      </c>
      <c r="E121" s="9" t="s">
        <v>146</v>
      </c>
      <c r="F121" s="9" t="s">
        <v>395</v>
      </c>
      <c r="G121" s="10">
        <v>0.79652777777777783</v>
      </c>
      <c r="H121" s="9" t="s">
        <v>559</v>
      </c>
      <c r="I121" s="9">
        <v>1.4</v>
      </c>
      <c r="J121" s="9" t="s">
        <v>49</v>
      </c>
      <c r="K121" s="9">
        <v>344</v>
      </c>
      <c r="L121" s="9">
        <v>66</v>
      </c>
      <c r="M121" s="9" t="s">
        <v>22</v>
      </c>
      <c r="N121" s="9">
        <v>17</v>
      </c>
      <c r="O121" s="9" t="s">
        <v>23</v>
      </c>
      <c r="P121" s="9" t="s">
        <v>24</v>
      </c>
      <c r="Q121" s="11" t="str">
        <f t="shared" si="1"/>
        <v>Restaurant Delay</v>
      </c>
    </row>
    <row r="122" spans="1:17" x14ac:dyDescent="0.3">
      <c r="A122" s="8" t="s">
        <v>366</v>
      </c>
      <c r="B122" s="9" t="s">
        <v>495</v>
      </c>
      <c r="C122" s="9" t="s">
        <v>597</v>
      </c>
      <c r="D122" s="9">
        <v>14</v>
      </c>
      <c r="E122" s="9" t="s">
        <v>124</v>
      </c>
      <c r="F122" s="9" t="s">
        <v>300</v>
      </c>
      <c r="G122" s="10">
        <v>0.59305555555555556</v>
      </c>
      <c r="H122" s="9" t="s">
        <v>125</v>
      </c>
      <c r="I122" s="9">
        <v>3.88</v>
      </c>
      <c r="J122" s="9" t="s">
        <v>21</v>
      </c>
      <c r="K122" s="9">
        <v>254</v>
      </c>
      <c r="L122" s="9">
        <v>89</v>
      </c>
      <c r="M122" s="9" t="s">
        <v>22</v>
      </c>
      <c r="N122" s="9">
        <v>17</v>
      </c>
      <c r="O122" s="9" t="s">
        <v>23</v>
      </c>
      <c r="P122" s="9" t="s">
        <v>24</v>
      </c>
      <c r="Q122" s="11" t="str">
        <f t="shared" si="1"/>
        <v>None</v>
      </c>
    </row>
    <row r="123" spans="1:17" x14ac:dyDescent="0.3">
      <c r="A123" s="8" t="s">
        <v>368</v>
      </c>
      <c r="B123" s="9" t="s">
        <v>165</v>
      </c>
      <c r="C123" s="9" t="s">
        <v>597</v>
      </c>
      <c r="D123" s="9">
        <v>19</v>
      </c>
      <c r="E123" s="9" t="s">
        <v>479</v>
      </c>
      <c r="F123" s="9" t="s">
        <v>315</v>
      </c>
      <c r="G123" s="10">
        <v>0.47500000000000003</v>
      </c>
      <c r="H123" s="9" t="s">
        <v>105</v>
      </c>
      <c r="I123" s="9">
        <v>7.62</v>
      </c>
      <c r="J123" s="9" t="s">
        <v>211</v>
      </c>
      <c r="K123" s="9">
        <v>328</v>
      </c>
      <c r="L123" s="9">
        <v>127</v>
      </c>
      <c r="M123" s="9" t="s">
        <v>22</v>
      </c>
      <c r="N123" s="9">
        <v>16</v>
      </c>
      <c r="O123" s="9" t="s">
        <v>23</v>
      </c>
      <c r="P123" s="9" t="s">
        <v>24</v>
      </c>
      <c r="Q123" s="11" t="str">
        <f t="shared" si="1"/>
        <v>Distance</v>
      </c>
    </row>
    <row r="124" spans="1:17" x14ac:dyDescent="0.3">
      <c r="A124" s="8" t="s">
        <v>370</v>
      </c>
      <c r="B124" s="9" t="s">
        <v>241</v>
      </c>
      <c r="C124" s="9" t="s">
        <v>597</v>
      </c>
      <c r="D124" s="9">
        <v>17</v>
      </c>
      <c r="E124" s="9" t="s">
        <v>220</v>
      </c>
      <c r="F124" s="9" t="s">
        <v>322</v>
      </c>
      <c r="G124" s="10">
        <v>0.62361111111111112</v>
      </c>
      <c r="H124" s="9" t="s">
        <v>154</v>
      </c>
      <c r="I124" s="9">
        <v>4.29</v>
      </c>
      <c r="J124" s="9" t="s">
        <v>33</v>
      </c>
      <c r="K124" s="9">
        <v>344</v>
      </c>
      <c r="L124" s="9">
        <v>91</v>
      </c>
      <c r="M124" s="9" t="s">
        <v>22</v>
      </c>
      <c r="N124" s="9">
        <v>17</v>
      </c>
      <c r="O124" s="9" t="s">
        <v>55</v>
      </c>
      <c r="P124" s="9" t="s">
        <v>24</v>
      </c>
      <c r="Q124" s="11" t="str">
        <f t="shared" si="1"/>
        <v>None</v>
      </c>
    </row>
    <row r="125" spans="1:17" x14ac:dyDescent="0.3">
      <c r="A125" s="8" t="s">
        <v>372</v>
      </c>
      <c r="B125" s="9" t="s">
        <v>399</v>
      </c>
      <c r="C125" s="9" t="s">
        <v>597</v>
      </c>
      <c r="D125" s="9">
        <v>18</v>
      </c>
      <c r="E125" s="9" t="s">
        <v>617</v>
      </c>
      <c r="F125" s="9" t="s">
        <v>754</v>
      </c>
      <c r="G125" s="10">
        <v>0.8534722222222223</v>
      </c>
      <c r="H125" s="9" t="s">
        <v>724</v>
      </c>
      <c r="I125" s="9">
        <v>4.53</v>
      </c>
      <c r="J125" s="9" t="s">
        <v>45</v>
      </c>
      <c r="K125" s="9">
        <v>315</v>
      </c>
      <c r="L125" s="9">
        <v>100</v>
      </c>
      <c r="M125" s="9" t="s">
        <v>22</v>
      </c>
      <c r="N125" s="9">
        <v>9</v>
      </c>
      <c r="O125" s="9" t="s">
        <v>34</v>
      </c>
      <c r="P125" s="9" t="s">
        <v>24</v>
      </c>
      <c r="Q125" s="11" t="str">
        <f t="shared" si="1"/>
        <v>Traffic</v>
      </c>
    </row>
    <row r="126" spans="1:17" x14ac:dyDescent="0.3">
      <c r="A126" s="8" t="s">
        <v>373</v>
      </c>
      <c r="B126" s="9" t="s">
        <v>602</v>
      </c>
      <c r="C126" s="9" t="s">
        <v>597</v>
      </c>
      <c r="D126" s="9">
        <v>17</v>
      </c>
      <c r="E126" s="9" t="s">
        <v>603</v>
      </c>
      <c r="F126" s="9" t="s">
        <v>184</v>
      </c>
      <c r="G126" s="10">
        <v>0.65416666666666667</v>
      </c>
      <c r="H126" s="9" t="s">
        <v>185</v>
      </c>
      <c r="I126" s="9">
        <v>1.9</v>
      </c>
      <c r="J126" s="9" t="s">
        <v>62</v>
      </c>
      <c r="K126" s="9">
        <v>207</v>
      </c>
      <c r="L126" s="9">
        <v>64</v>
      </c>
      <c r="M126" s="9" t="s">
        <v>22</v>
      </c>
      <c r="N126" s="9">
        <v>17</v>
      </c>
      <c r="O126" s="9" t="s">
        <v>55</v>
      </c>
      <c r="P126" s="9" t="s">
        <v>24</v>
      </c>
      <c r="Q126" s="11" t="str">
        <f t="shared" si="1"/>
        <v>None</v>
      </c>
    </row>
    <row r="127" spans="1:17" x14ac:dyDescent="0.3">
      <c r="A127" s="8" t="s">
        <v>374</v>
      </c>
      <c r="B127" s="9" t="s">
        <v>147</v>
      </c>
      <c r="C127" s="9" t="s">
        <v>597</v>
      </c>
      <c r="D127" s="9">
        <v>10</v>
      </c>
      <c r="E127" s="9" t="s">
        <v>396</v>
      </c>
      <c r="F127" s="9" t="s">
        <v>591</v>
      </c>
      <c r="G127" s="10">
        <v>0.81319444444444444</v>
      </c>
      <c r="H127" s="9" t="s">
        <v>557</v>
      </c>
      <c r="I127" s="9">
        <v>5.79</v>
      </c>
      <c r="J127" s="9" t="s">
        <v>69</v>
      </c>
      <c r="K127" s="9">
        <v>278</v>
      </c>
      <c r="L127" s="9">
        <v>114</v>
      </c>
      <c r="M127" s="9" t="s">
        <v>22</v>
      </c>
      <c r="N127" s="9">
        <v>12</v>
      </c>
      <c r="O127" s="9" t="s">
        <v>34</v>
      </c>
      <c r="P127" s="9" t="s">
        <v>24</v>
      </c>
      <c r="Q127" s="11" t="str">
        <f t="shared" si="1"/>
        <v>Traffic</v>
      </c>
    </row>
    <row r="128" spans="1:17" x14ac:dyDescent="0.3">
      <c r="A128" s="8" t="s">
        <v>376</v>
      </c>
      <c r="B128" s="9" t="s">
        <v>679</v>
      </c>
      <c r="C128" s="9" t="s">
        <v>597</v>
      </c>
      <c r="D128" s="9">
        <v>10</v>
      </c>
      <c r="E128" s="9" t="s">
        <v>206</v>
      </c>
      <c r="F128" s="9" t="s">
        <v>155</v>
      </c>
      <c r="G128" s="10">
        <v>0.64513888888888893</v>
      </c>
      <c r="H128" s="9" t="s">
        <v>196</v>
      </c>
      <c r="I128" s="9">
        <v>6.76</v>
      </c>
      <c r="J128" s="9" t="s">
        <v>54</v>
      </c>
      <c r="K128" s="9">
        <v>207</v>
      </c>
      <c r="L128" s="9">
        <v>114</v>
      </c>
      <c r="M128" s="9" t="s">
        <v>22</v>
      </c>
      <c r="N128" s="9">
        <v>15</v>
      </c>
      <c r="O128" s="9" t="s">
        <v>55</v>
      </c>
      <c r="P128" s="9" t="s">
        <v>24</v>
      </c>
      <c r="Q128" s="11" t="str">
        <f t="shared" si="1"/>
        <v>Distance</v>
      </c>
    </row>
    <row r="129" spans="1:17" x14ac:dyDescent="0.3">
      <c r="A129" s="8" t="s">
        <v>377</v>
      </c>
      <c r="B129" s="9" t="s">
        <v>689</v>
      </c>
      <c r="C129" s="9" t="s">
        <v>597</v>
      </c>
      <c r="D129" s="9">
        <v>18</v>
      </c>
      <c r="E129" s="9" t="s">
        <v>412</v>
      </c>
      <c r="F129" s="9" t="s">
        <v>696</v>
      </c>
      <c r="G129" s="10">
        <v>0.67361111111111105</v>
      </c>
      <c r="H129" s="9" t="s">
        <v>668</v>
      </c>
      <c r="I129" s="9">
        <v>1.85</v>
      </c>
      <c r="J129" s="9" t="s">
        <v>65</v>
      </c>
      <c r="K129" s="9">
        <v>214</v>
      </c>
      <c r="L129" s="9">
        <v>63</v>
      </c>
      <c r="M129" s="9" t="s">
        <v>22</v>
      </c>
      <c r="N129" s="9">
        <v>18</v>
      </c>
      <c r="O129" s="9" t="s">
        <v>55</v>
      </c>
      <c r="P129" s="9" t="s">
        <v>24</v>
      </c>
      <c r="Q129" s="11" t="str">
        <f t="shared" si="1"/>
        <v>None</v>
      </c>
    </row>
    <row r="130" spans="1:17" x14ac:dyDescent="0.3">
      <c r="A130" s="8" t="s">
        <v>378</v>
      </c>
      <c r="B130" s="9" t="s">
        <v>31</v>
      </c>
      <c r="C130" s="9" t="s">
        <v>594</v>
      </c>
      <c r="D130" s="9">
        <v>27</v>
      </c>
      <c r="E130" s="9" t="s">
        <v>401</v>
      </c>
      <c r="F130" s="9" t="s">
        <v>756</v>
      </c>
      <c r="G130" s="10">
        <v>0.85347222222222219</v>
      </c>
      <c r="H130" s="9" t="s">
        <v>757</v>
      </c>
      <c r="I130" s="9">
        <v>3.1</v>
      </c>
      <c r="J130" s="9" t="s">
        <v>177</v>
      </c>
      <c r="K130" s="9">
        <v>162</v>
      </c>
      <c r="L130" s="9">
        <v>87</v>
      </c>
      <c r="M130" s="9" t="s">
        <v>22</v>
      </c>
      <c r="N130" s="9">
        <v>8</v>
      </c>
      <c r="O130" s="9" t="s">
        <v>34</v>
      </c>
      <c r="P130" s="9" t="s">
        <v>24</v>
      </c>
      <c r="Q130" s="11" t="str">
        <f t="shared" si="1"/>
        <v>Traffic</v>
      </c>
    </row>
    <row r="131" spans="1:17" x14ac:dyDescent="0.3">
      <c r="A131" s="8" t="s">
        <v>383</v>
      </c>
      <c r="B131" s="9" t="s">
        <v>758</v>
      </c>
      <c r="C131" s="9" t="s">
        <v>594</v>
      </c>
      <c r="D131" s="9">
        <v>37</v>
      </c>
      <c r="E131" s="9" t="s">
        <v>759</v>
      </c>
      <c r="F131" s="9" t="s">
        <v>477</v>
      </c>
      <c r="G131" s="10">
        <v>0.47083333333333327</v>
      </c>
      <c r="H131" s="9" t="s">
        <v>192</v>
      </c>
      <c r="I131" s="9">
        <v>5.47</v>
      </c>
      <c r="J131" s="9" t="s">
        <v>54</v>
      </c>
      <c r="K131" s="9">
        <v>234</v>
      </c>
      <c r="L131" s="9">
        <v>109</v>
      </c>
      <c r="M131" s="9" t="s">
        <v>22</v>
      </c>
      <c r="N131" s="9">
        <v>14</v>
      </c>
      <c r="O131" s="9" t="s">
        <v>23</v>
      </c>
      <c r="P131" s="9" t="s">
        <v>24</v>
      </c>
      <c r="Q131" s="11" t="str">
        <f t="shared" ref="Q131:Q194" si="2">IF(M131="Failed",
IF(O131="High","Traffic",
IF(N131&lt;10,"No Rider","Restaurant Delay")),
IF(((H131-B131)*1440 - (D131 + I131*5))&lt;=7,"None",
IF(O131="High","Traffic",
IF(N131&lt;10,"No Rider",
IF(C131="Bulk","Restaurant Delay",
IF(I131&gt;=6,"Distance","None"))))))</f>
        <v>Restaurant Delay</v>
      </c>
    </row>
    <row r="132" spans="1:17" x14ac:dyDescent="0.3">
      <c r="A132" s="8" t="s">
        <v>385</v>
      </c>
      <c r="B132" s="9" t="s">
        <v>760</v>
      </c>
      <c r="C132" s="9" t="s">
        <v>597</v>
      </c>
      <c r="D132" s="9">
        <v>15</v>
      </c>
      <c r="E132" s="9" t="s">
        <v>761</v>
      </c>
      <c r="F132" s="9" t="s">
        <v>721</v>
      </c>
      <c r="G132" s="10">
        <v>0.43541666666666667</v>
      </c>
      <c r="H132" s="9" t="s">
        <v>583</v>
      </c>
      <c r="I132" s="9">
        <v>7.46</v>
      </c>
      <c r="J132" s="9" t="s">
        <v>54</v>
      </c>
      <c r="K132" s="9">
        <v>372</v>
      </c>
      <c r="L132" s="9">
        <v>126</v>
      </c>
      <c r="M132" s="9" t="s">
        <v>22</v>
      </c>
      <c r="N132" s="9">
        <v>12</v>
      </c>
      <c r="O132" s="9" t="s">
        <v>23</v>
      </c>
      <c r="P132" s="9" t="s">
        <v>24</v>
      </c>
      <c r="Q132" s="11" t="str">
        <f t="shared" si="2"/>
        <v>Distance</v>
      </c>
    </row>
    <row r="133" spans="1:17" x14ac:dyDescent="0.3">
      <c r="A133" s="8" t="s">
        <v>386</v>
      </c>
      <c r="B133" s="9" t="s">
        <v>486</v>
      </c>
      <c r="C133" s="9" t="s">
        <v>594</v>
      </c>
      <c r="D133" s="9">
        <v>40</v>
      </c>
      <c r="E133" s="9" t="s">
        <v>624</v>
      </c>
      <c r="F133" s="9" t="s">
        <v>632</v>
      </c>
      <c r="G133" s="10">
        <v>0.74097222222222214</v>
      </c>
      <c r="H133" s="9" t="s">
        <v>217</v>
      </c>
      <c r="I133" s="9">
        <v>4.75</v>
      </c>
      <c r="J133" s="9" t="s">
        <v>211</v>
      </c>
      <c r="K133" s="9">
        <v>206</v>
      </c>
      <c r="L133" s="9">
        <v>95</v>
      </c>
      <c r="M133" s="9" t="s">
        <v>22</v>
      </c>
      <c r="N133" s="9">
        <v>19</v>
      </c>
      <c r="O133" s="9" t="s">
        <v>55</v>
      </c>
      <c r="P133" s="9" t="s">
        <v>24</v>
      </c>
      <c r="Q133" s="11" t="str">
        <f t="shared" si="2"/>
        <v>Restaurant Delay</v>
      </c>
    </row>
    <row r="134" spans="1:17" x14ac:dyDescent="0.3">
      <c r="A134" s="8" t="s">
        <v>388</v>
      </c>
      <c r="B134" s="9" t="s">
        <v>591</v>
      </c>
      <c r="C134" s="9" t="s">
        <v>594</v>
      </c>
      <c r="D134" s="9">
        <v>28</v>
      </c>
      <c r="E134" s="9" t="s">
        <v>61</v>
      </c>
      <c r="F134" s="9" t="s">
        <v>150</v>
      </c>
      <c r="G134" s="10">
        <v>0.8388888888888888</v>
      </c>
      <c r="H134" s="9" t="s">
        <v>762</v>
      </c>
      <c r="I134" s="9">
        <v>2.5099999999999998</v>
      </c>
      <c r="J134" s="9" t="s">
        <v>54</v>
      </c>
      <c r="K134" s="9">
        <v>155</v>
      </c>
      <c r="L134" s="9">
        <v>83</v>
      </c>
      <c r="M134" s="9" t="s">
        <v>22</v>
      </c>
      <c r="N134" s="9">
        <v>9</v>
      </c>
      <c r="O134" s="9" t="s">
        <v>34</v>
      </c>
      <c r="P134" s="9" t="s">
        <v>24</v>
      </c>
      <c r="Q134" s="11" t="str">
        <f t="shared" si="2"/>
        <v>Traffic</v>
      </c>
    </row>
    <row r="135" spans="1:17" x14ac:dyDescent="0.3">
      <c r="A135" s="8" t="s">
        <v>390</v>
      </c>
      <c r="B135" s="9" t="s">
        <v>147</v>
      </c>
      <c r="C135" s="9" t="s">
        <v>597</v>
      </c>
      <c r="D135" s="9">
        <v>18</v>
      </c>
      <c r="E135" s="9" t="s">
        <v>139</v>
      </c>
      <c r="F135" s="9" t="s">
        <v>139</v>
      </c>
      <c r="G135" s="10">
        <v>0.81944444444444442</v>
      </c>
      <c r="H135" s="9" t="s">
        <v>387</v>
      </c>
      <c r="I135" s="9">
        <v>1.88</v>
      </c>
      <c r="J135" s="9" t="s">
        <v>21</v>
      </c>
      <c r="K135" s="9">
        <v>167</v>
      </c>
      <c r="L135" s="9">
        <v>80</v>
      </c>
      <c r="M135" s="9" t="s">
        <v>22</v>
      </c>
      <c r="N135" s="9">
        <v>10</v>
      </c>
      <c r="O135" s="9" t="s">
        <v>34</v>
      </c>
      <c r="P135" s="9" t="s">
        <v>24</v>
      </c>
      <c r="Q135" s="11" t="str">
        <f t="shared" si="2"/>
        <v>Traffic</v>
      </c>
    </row>
    <row r="136" spans="1:17" x14ac:dyDescent="0.3">
      <c r="A136" s="8" t="s">
        <v>391</v>
      </c>
      <c r="B136" s="9" t="s">
        <v>755</v>
      </c>
      <c r="C136" s="9" t="s">
        <v>597</v>
      </c>
      <c r="D136" s="9">
        <v>18</v>
      </c>
      <c r="E136" s="9" t="s">
        <v>51</v>
      </c>
      <c r="F136" s="9" t="s">
        <v>653</v>
      </c>
      <c r="G136" s="10">
        <v>0.69027777777777777</v>
      </c>
      <c r="H136" s="9" t="s">
        <v>763</v>
      </c>
      <c r="I136" s="9">
        <v>1.21</v>
      </c>
      <c r="J136" s="9" t="s">
        <v>65</v>
      </c>
      <c r="K136" s="9">
        <v>183</v>
      </c>
      <c r="L136" s="9">
        <v>61</v>
      </c>
      <c r="M136" s="9" t="s">
        <v>22</v>
      </c>
      <c r="N136" s="9">
        <v>20</v>
      </c>
      <c r="O136" s="9" t="s">
        <v>55</v>
      </c>
      <c r="P136" s="9" t="s">
        <v>24</v>
      </c>
      <c r="Q136" s="11" t="str">
        <f t="shared" si="2"/>
        <v>None</v>
      </c>
    </row>
    <row r="137" spans="1:17" x14ac:dyDescent="0.3">
      <c r="A137" s="8" t="s">
        <v>392</v>
      </c>
      <c r="B137" s="9" t="s">
        <v>389</v>
      </c>
      <c r="C137" s="9" t="s">
        <v>597</v>
      </c>
      <c r="D137" s="9">
        <v>12</v>
      </c>
      <c r="E137" s="9" t="s">
        <v>332</v>
      </c>
      <c r="F137" s="9" t="s">
        <v>342</v>
      </c>
      <c r="G137" s="10">
        <v>0.48333333333333334</v>
      </c>
      <c r="H137" s="9" t="s">
        <v>18</v>
      </c>
      <c r="I137" s="9">
        <v>4.3899999999999997</v>
      </c>
      <c r="J137" s="9" t="s">
        <v>33</v>
      </c>
      <c r="K137" s="9">
        <v>224</v>
      </c>
      <c r="L137" s="9">
        <v>94</v>
      </c>
      <c r="M137" s="9" t="s">
        <v>22</v>
      </c>
      <c r="N137" s="9">
        <v>17</v>
      </c>
      <c r="O137" s="9" t="s">
        <v>23</v>
      </c>
      <c r="P137" s="9" t="s">
        <v>24</v>
      </c>
      <c r="Q137" s="11" t="str">
        <f t="shared" si="2"/>
        <v>None</v>
      </c>
    </row>
    <row r="138" spans="1:17" x14ac:dyDescent="0.3">
      <c r="A138" s="8" t="s">
        <v>394</v>
      </c>
      <c r="B138" s="9" t="s">
        <v>380</v>
      </c>
      <c r="C138" s="9" t="s">
        <v>597</v>
      </c>
      <c r="D138" s="9">
        <v>16</v>
      </c>
      <c r="E138" s="9" t="s">
        <v>318</v>
      </c>
      <c r="F138" s="9" t="s">
        <v>74</v>
      </c>
      <c r="G138" s="10">
        <v>0.5395833333333333</v>
      </c>
      <c r="H138" s="9" t="s">
        <v>657</v>
      </c>
      <c r="I138" s="9">
        <v>3.84</v>
      </c>
      <c r="J138" s="9" t="s">
        <v>90</v>
      </c>
      <c r="K138" s="9">
        <v>320</v>
      </c>
      <c r="L138" s="9">
        <v>91</v>
      </c>
      <c r="M138" s="9" t="s">
        <v>22</v>
      </c>
      <c r="N138" s="9">
        <v>18</v>
      </c>
      <c r="O138" s="9" t="s">
        <v>23</v>
      </c>
      <c r="P138" s="9" t="s">
        <v>24</v>
      </c>
      <c r="Q138" s="11" t="str">
        <f t="shared" si="2"/>
        <v>None</v>
      </c>
    </row>
    <row r="139" spans="1:17" x14ac:dyDescent="0.3">
      <c r="A139" s="8" t="s">
        <v>397</v>
      </c>
      <c r="B139" s="9" t="s">
        <v>760</v>
      </c>
      <c r="C139" s="9" t="s">
        <v>597</v>
      </c>
      <c r="D139" s="9">
        <v>10</v>
      </c>
      <c r="E139" s="9" t="s">
        <v>764</v>
      </c>
      <c r="F139" s="9" t="s">
        <v>764</v>
      </c>
      <c r="G139" s="10">
        <v>0.43194444444444446</v>
      </c>
      <c r="H139" s="9" t="s">
        <v>598</v>
      </c>
      <c r="I139" s="9">
        <v>1.93</v>
      </c>
      <c r="J139" s="9" t="s">
        <v>126</v>
      </c>
      <c r="K139" s="9">
        <v>349</v>
      </c>
      <c r="L139" s="9">
        <v>74</v>
      </c>
      <c r="M139" s="9" t="s">
        <v>22</v>
      </c>
      <c r="N139" s="9">
        <v>18</v>
      </c>
      <c r="O139" s="9" t="s">
        <v>23</v>
      </c>
      <c r="P139" s="9" t="s">
        <v>24</v>
      </c>
      <c r="Q139" s="11" t="str">
        <f t="shared" si="2"/>
        <v>None</v>
      </c>
    </row>
    <row r="140" spans="1:17" x14ac:dyDescent="0.3">
      <c r="A140" s="8" t="s">
        <v>398</v>
      </c>
      <c r="B140" s="9" t="s">
        <v>36</v>
      </c>
      <c r="C140" s="9" t="s">
        <v>597</v>
      </c>
      <c r="D140" s="9">
        <v>15</v>
      </c>
      <c r="E140" s="9" t="s">
        <v>37</v>
      </c>
      <c r="F140" s="9" t="s">
        <v>37</v>
      </c>
      <c r="G140" s="10">
        <v>0.72777777777777775</v>
      </c>
      <c r="H140" s="9" t="s">
        <v>128</v>
      </c>
      <c r="I140" s="9">
        <v>5.24</v>
      </c>
      <c r="J140" s="9" t="s">
        <v>99</v>
      </c>
      <c r="K140" s="9">
        <v>349</v>
      </c>
      <c r="L140" s="9">
        <v>105</v>
      </c>
      <c r="M140" s="9" t="s">
        <v>22</v>
      </c>
      <c r="N140" s="9">
        <v>15</v>
      </c>
      <c r="O140" s="9" t="s">
        <v>23</v>
      </c>
      <c r="P140" s="9" t="s">
        <v>24</v>
      </c>
      <c r="Q140" s="11" t="str">
        <f t="shared" si="2"/>
        <v>None</v>
      </c>
    </row>
    <row r="141" spans="1:17" x14ac:dyDescent="0.3">
      <c r="A141" s="8" t="s">
        <v>400</v>
      </c>
      <c r="B141" s="9" t="s">
        <v>765</v>
      </c>
      <c r="C141" s="9" t="s">
        <v>597</v>
      </c>
      <c r="D141" s="9">
        <v>11</v>
      </c>
      <c r="E141" s="9" t="s">
        <v>766</v>
      </c>
      <c r="F141" s="9" t="s">
        <v>767</v>
      </c>
      <c r="G141" s="10">
        <v>0.42708333333333331</v>
      </c>
      <c r="H141" s="9" t="s">
        <v>350</v>
      </c>
      <c r="I141" s="9">
        <v>4.71</v>
      </c>
      <c r="J141" s="9" t="s">
        <v>69</v>
      </c>
      <c r="K141" s="9">
        <v>350</v>
      </c>
      <c r="L141" s="9">
        <v>98</v>
      </c>
      <c r="M141" s="9" t="s">
        <v>22</v>
      </c>
      <c r="N141" s="9">
        <v>16</v>
      </c>
      <c r="O141" s="9" t="s">
        <v>23</v>
      </c>
      <c r="P141" s="9" t="s">
        <v>24</v>
      </c>
      <c r="Q141" s="11" t="str">
        <f t="shared" si="2"/>
        <v>None</v>
      </c>
    </row>
    <row r="142" spans="1:17" x14ac:dyDescent="0.3">
      <c r="A142" s="8" t="s">
        <v>402</v>
      </c>
      <c r="B142" s="9" t="s">
        <v>704</v>
      </c>
      <c r="C142" s="9" t="s">
        <v>597</v>
      </c>
      <c r="D142" s="9">
        <v>13</v>
      </c>
      <c r="E142" s="9" t="s">
        <v>281</v>
      </c>
      <c r="F142" s="9" t="s">
        <v>84</v>
      </c>
      <c r="G142" s="10">
        <v>0.68263888888888891</v>
      </c>
      <c r="H142" s="9" t="s">
        <v>297</v>
      </c>
      <c r="I142" s="9">
        <v>1.74</v>
      </c>
      <c r="J142" s="9" t="s">
        <v>99</v>
      </c>
      <c r="K142" s="9">
        <v>179</v>
      </c>
      <c r="L142" s="9">
        <v>63</v>
      </c>
      <c r="M142" s="9" t="s">
        <v>22</v>
      </c>
      <c r="N142" s="9">
        <v>19</v>
      </c>
      <c r="O142" s="9" t="s">
        <v>55</v>
      </c>
      <c r="P142" s="9" t="s">
        <v>24</v>
      </c>
      <c r="Q142" s="11" t="str">
        <f t="shared" si="2"/>
        <v>None</v>
      </c>
    </row>
    <row r="143" spans="1:17" x14ac:dyDescent="0.3">
      <c r="A143" s="8" t="s">
        <v>404</v>
      </c>
      <c r="B143" s="9" t="s">
        <v>714</v>
      </c>
      <c r="C143" s="9" t="s">
        <v>597</v>
      </c>
      <c r="D143" s="9">
        <v>15</v>
      </c>
      <c r="E143" s="9" t="s">
        <v>156</v>
      </c>
      <c r="F143" s="9" t="s">
        <v>156</v>
      </c>
      <c r="G143" s="10">
        <v>0.65069444444444446</v>
      </c>
      <c r="H143" s="9" t="s">
        <v>722</v>
      </c>
      <c r="I143" s="9">
        <v>5.38</v>
      </c>
      <c r="J143" s="9" t="s">
        <v>40</v>
      </c>
      <c r="K143" s="9">
        <v>256</v>
      </c>
      <c r="L143" s="9">
        <v>103</v>
      </c>
      <c r="M143" s="9" t="s">
        <v>22</v>
      </c>
      <c r="N143" s="9">
        <v>17</v>
      </c>
      <c r="O143" s="9" t="s">
        <v>55</v>
      </c>
      <c r="P143" s="9" t="s">
        <v>24</v>
      </c>
      <c r="Q143" s="11" t="str">
        <f t="shared" si="2"/>
        <v>None</v>
      </c>
    </row>
    <row r="144" spans="1:17" x14ac:dyDescent="0.3">
      <c r="A144" s="8" t="s">
        <v>406</v>
      </c>
      <c r="B144" s="9" t="s">
        <v>412</v>
      </c>
      <c r="C144" s="9" t="s">
        <v>597</v>
      </c>
      <c r="D144" s="9">
        <v>15</v>
      </c>
      <c r="E144" s="9" t="s">
        <v>607</v>
      </c>
      <c r="F144" s="9" t="s">
        <v>769</v>
      </c>
      <c r="G144" s="10">
        <v>0.68472222222222223</v>
      </c>
      <c r="H144" s="9" t="s">
        <v>763</v>
      </c>
      <c r="I144" s="9">
        <v>2.67</v>
      </c>
      <c r="J144" s="9" t="s">
        <v>118</v>
      </c>
      <c r="K144" s="9">
        <v>179</v>
      </c>
      <c r="L144" s="9">
        <v>76</v>
      </c>
      <c r="M144" s="9" t="s">
        <v>77</v>
      </c>
      <c r="N144" s="9">
        <v>18</v>
      </c>
      <c r="O144" s="9" t="s">
        <v>55</v>
      </c>
      <c r="P144" s="9" t="s">
        <v>78</v>
      </c>
      <c r="Q144" s="11" t="str">
        <f t="shared" si="2"/>
        <v>Restaurant Delay</v>
      </c>
    </row>
    <row r="145" spans="1:17" x14ac:dyDescent="0.3">
      <c r="A145" s="8" t="s">
        <v>407</v>
      </c>
      <c r="B145" s="9" t="s">
        <v>74</v>
      </c>
      <c r="C145" s="9" t="s">
        <v>597</v>
      </c>
      <c r="D145" s="9">
        <v>20</v>
      </c>
      <c r="E145" s="9" t="s">
        <v>209</v>
      </c>
      <c r="F145" s="9" t="s">
        <v>209</v>
      </c>
      <c r="G145" s="10">
        <v>0.55555555555555558</v>
      </c>
      <c r="H145" s="9" t="s">
        <v>711</v>
      </c>
      <c r="I145" s="9">
        <v>6.3</v>
      </c>
      <c r="J145" s="9" t="s">
        <v>122</v>
      </c>
      <c r="K145" s="9">
        <v>155</v>
      </c>
      <c r="L145" s="9">
        <v>115</v>
      </c>
      <c r="M145" s="9" t="s">
        <v>22</v>
      </c>
      <c r="N145" s="9">
        <v>15</v>
      </c>
      <c r="O145" s="9" t="s">
        <v>23</v>
      </c>
      <c r="P145" s="9" t="s">
        <v>24</v>
      </c>
      <c r="Q145" s="11" t="str">
        <f t="shared" si="2"/>
        <v>Distance</v>
      </c>
    </row>
    <row r="146" spans="1:17" x14ac:dyDescent="0.3">
      <c r="A146" s="8" t="s">
        <v>409</v>
      </c>
      <c r="B146" s="9" t="s">
        <v>210</v>
      </c>
      <c r="C146" s="9" t="s">
        <v>597</v>
      </c>
      <c r="D146" s="9">
        <v>12</v>
      </c>
      <c r="E146" s="9" t="s">
        <v>295</v>
      </c>
      <c r="F146" s="9" t="s">
        <v>655</v>
      </c>
      <c r="G146" s="10">
        <v>0.57638888888888884</v>
      </c>
      <c r="H146" s="9" t="s">
        <v>244</v>
      </c>
      <c r="I146" s="9">
        <v>2.59</v>
      </c>
      <c r="J146" s="9" t="s">
        <v>129</v>
      </c>
      <c r="K146" s="9">
        <v>398</v>
      </c>
      <c r="L146" s="9">
        <v>80</v>
      </c>
      <c r="M146" s="9" t="s">
        <v>22</v>
      </c>
      <c r="N146" s="9">
        <v>15</v>
      </c>
      <c r="O146" s="9" t="s">
        <v>23</v>
      </c>
      <c r="P146" s="9" t="s">
        <v>24</v>
      </c>
      <c r="Q146" s="11" t="str">
        <f t="shared" si="2"/>
        <v>None</v>
      </c>
    </row>
    <row r="147" spans="1:17" x14ac:dyDescent="0.3">
      <c r="A147" s="8" t="s">
        <v>411</v>
      </c>
      <c r="B147" s="9" t="s">
        <v>94</v>
      </c>
      <c r="C147" s="9" t="s">
        <v>597</v>
      </c>
      <c r="D147" s="9">
        <v>17</v>
      </c>
      <c r="E147" s="9" t="s">
        <v>113</v>
      </c>
      <c r="F147" s="9" t="s">
        <v>733</v>
      </c>
      <c r="G147" s="10">
        <v>0.60624999999999996</v>
      </c>
      <c r="H147" s="9" t="s">
        <v>403</v>
      </c>
      <c r="I147" s="9">
        <v>3.59</v>
      </c>
      <c r="J147" s="9" t="s">
        <v>21</v>
      </c>
      <c r="K147" s="9">
        <v>252</v>
      </c>
      <c r="L147" s="9">
        <v>83</v>
      </c>
      <c r="M147" s="9" t="s">
        <v>22</v>
      </c>
      <c r="N147" s="9">
        <v>20</v>
      </c>
      <c r="O147" s="9" t="s">
        <v>55</v>
      </c>
      <c r="P147" s="9" t="s">
        <v>24</v>
      </c>
      <c r="Q147" s="11" t="str">
        <f t="shared" si="2"/>
        <v>None</v>
      </c>
    </row>
    <row r="148" spans="1:17" x14ac:dyDescent="0.3">
      <c r="A148" s="8" t="s">
        <v>414</v>
      </c>
      <c r="B148" s="9" t="s">
        <v>277</v>
      </c>
      <c r="C148" s="9" t="s">
        <v>597</v>
      </c>
      <c r="D148" s="9">
        <v>14</v>
      </c>
      <c r="E148" s="9" t="s">
        <v>682</v>
      </c>
      <c r="F148" s="9" t="s">
        <v>770</v>
      </c>
      <c r="G148" s="10">
        <v>0.51597222222222228</v>
      </c>
      <c r="H148" s="9" t="s">
        <v>771</v>
      </c>
      <c r="I148" s="9">
        <v>2.0499999999999998</v>
      </c>
      <c r="J148" s="9" t="s">
        <v>28</v>
      </c>
      <c r="K148" s="9">
        <v>354</v>
      </c>
      <c r="L148" s="9">
        <v>71</v>
      </c>
      <c r="M148" s="9" t="s">
        <v>22</v>
      </c>
      <c r="N148" s="9">
        <v>18</v>
      </c>
      <c r="O148" s="9" t="s">
        <v>23</v>
      </c>
      <c r="P148" s="9" t="s">
        <v>24</v>
      </c>
      <c r="Q148" s="11" t="str">
        <f t="shared" si="2"/>
        <v>None</v>
      </c>
    </row>
    <row r="149" spans="1:17" x14ac:dyDescent="0.3">
      <c r="A149" s="8" t="s">
        <v>415</v>
      </c>
      <c r="B149" s="9" t="s">
        <v>389</v>
      </c>
      <c r="C149" s="9" t="s">
        <v>597</v>
      </c>
      <c r="D149" s="9">
        <v>17</v>
      </c>
      <c r="E149" s="9" t="s">
        <v>584</v>
      </c>
      <c r="F149" s="9" t="s">
        <v>134</v>
      </c>
      <c r="G149" s="10">
        <v>0.48541666666666666</v>
      </c>
      <c r="H149" s="9" t="s">
        <v>739</v>
      </c>
      <c r="I149" s="9">
        <v>5.67</v>
      </c>
      <c r="J149" s="9" t="s">
        <v>118</v>
      </c>
      <c r="K149" s="9">
        <v>189</v>
      </c>
      <c r="L149" s="9">
        <v>109</v>
      </c>
      <c r="M149" s="9" t="s">
        <v>22</v>
      </c>
      <c r="N149" s="9">
        <v>18</v>
      </c>
      <c r="O149" s="9" t="s">
        <v>23</v>
      </c>
      <c r="P149" s="9" t="s">
        <v>24</v>
      </c>
      <c r="Q149" s="11" t="str">
        <f t="shared" si="2"/>
        <v>None</v>
      </c>
    </row>
    <row r="150" spans="1:17" x14ac:dyDescent="0.3">
      <c r="A150" s="8" t="s">
        <v>419</v>
      </c>
      <c r="B150" s="9" t="s">
        <v>26</v>
      </c>
      <c r="C150" s="9" t="s">
        <v>597</v>
      </c>
      <c r="D150" s="9">
        <v>10</v>
      </c>
      <c r="E150" s="9" t="s">
        <v>192</v>
      </c>
      <c r="F150" s="9" t="s">
        <v>705</v>
      </c>
      <c r="G150" s="10">
        <v>0.50138888888888888</v>
      </c>
      <c r="H150" s="9" t="s">
        <v>746</v>
      </c>
      <c r="I150" s="9">
        <v>6.68</v>
      </c>
      <c r="J150" s="9" t="s">
        <v>28</v>
      </c>
      <c r="K150" s="9">
        <v>250</v>
      </c>
      <c r="L150" s="9">
        <v>119</v>
      </c>
      <c r="M150" s="9" t="s">
        <v>22</v>
      </c>
      <c r="N150" s="9">
        <v>15</v>
      </c>
      <c r="O150" s="9" t="s">
        <v>23</v>
      </c>
      <c r="P150" s="9" t="s">
        <v>24</v>
      </c>
      <c r="Q150" s="11" t="str">
        <f t="shared" si="2"/>
        <v>Distance</v>
      </c>
    </row>
    <row r="151" spans="1:17" x14ac:dyDescent="0.3">
      <c r="A151" s="8" t="s">
        <v>420</v>
      </c>
      <c r="B151" s="9" t="s">
        <v>772</v>
      </c>
      <c r="C151" s="9" t="s">
        <v>597</v>
      </c>
      <c r="D151" s="9">
        <v>16</v>
      </c>
      <c r="E151" s="9" t="s">
        <v>641</v>
      </c>
      <c r="F151" s="9" t="s">
        <v>685</v>
      </c>
      <c r="G151" s="10">
        <v>0.82638888888888884</v>
      </c>
      <c r="H151" s="9" t="s">
        <v>754</v>
      </c>
      <c r="I151" s="9">
        <v>2.25</v>
      </c>
      <c r="J151" s="9" t="s">
        <v>21</v>
      </c>
      <c r="K151" s="9">
        <v>348</v>
      </c>
      <c r="L151" s="9">
        <v>87</v>
      </c>
      <c r="M151" s="9" t="s">
        <v>22</v>
      </c>
      <c r="N151" s="9">
        <v>9</v>
      </c>
      <c r="O151" s="9" t="s">
        <v>34</v>
      </c>
      <c r="P151" s="9" t="s">
        <v>24</v>
      </c>
      <c r="Q151" s="11" t="str">
        <f t="shared" si="2"/>
        <v>Traffic</v>
      </c>
    </row>
    <row r="152" spans="1:17" x14ac:dyDescent="0.3">
      <c r="A152" s="8" t="s">
        <v>421</v>
      </c>
      <c r="B152" s="9" t="s">
        <v>89</v>
      </c>
      <c r="C152" s="9" t="s">
        <v>597</v>
      </c>
      <c r="D152" s="9">
        <v>12</v>
      </c>
      <c r="E152" s="9" t="s">
        <v>685</v>
      </c>
      <c r="F152" s="9" t="s">
        <v>560</v>
      </c>
      <c r="G152" s="10">
        <v>0.82847222222222228</v>
      </c>
      <c r="H152" s="9" t="s">
        <v>604</v>
      </c>
      <c r="I152" s="9">
        <v>1.1499999999999999</v>
      </c>
      <c r="J152" s="9" t="s">
        <v>99</v>
      </c>
      <c r="K152" s="9">
        <v>353</v>
      </c>
      <c r="L152" s="9">
        <v>75</v>
      </c>
      <c r="M152" s="9" t="s">
        <v>22</v>
      </c>
      <c r="N152" s="9">
        <v>11</v>
      </c>
      <c r="O152" s="9" t="s">
        <v>34</v>
      </c>
      <c r="P152" s="9" t="s">
        <v>24</v>
      </c>
      <c r="Q152" s="11" t="str">
        <f t="shared" si="2"/>
        <v>Traffic</v>
      </c>
    </row>
    <row r="153" spans="1:17" x14ac:dyDescent="0.3">
      <c r="A153" s="8" t="s">
        <v>424</v>
      </c>
      <c r="B153" s="9" t="s">
        <v>666</v>
      </c>
      <c r="C153" s="9" t="s">
        <v>597</v>
      </c>
      <c r="D153" s="9">
        <v>18</v>
      </c>
      <c r="E153" s="9" t="s">
        <v>665</v>
      </c>
      <c r="F153" s="9" t="s">
        <v>665</v>
      </c>
      <c r="G153" s="10">
        <v>0.79791666666666672</v>
      </c>
      <c r="H153" s="9" t="s">
        <v>32</v>
      </c>
      <c r="I153" s="9">
        <v>5.57</v>
      </c>
      <c r="J153" s="9" t="s">
        <v>76</v>
      </c>
      <c r="K153" s="9">
        <v>349</v>
      </c>
      <c r="L153" s="9">
        <v>109</v>
      </c>
      <c r="M153" s="9" t="s">
        <v>22</v>
      </c>
      <c r="N153" s="9">
        <v>17</v>
      </c>
      <c r="O153" s="9" t="s">
        <v>23</v>
      </c>
      <c r="P153" s="9" t="s">
        <v>24</v>
      </c>
      <c r="Q153" s="11" t="str">
        <f t="shared" si="2"/>
        <v>None</v>
      </c>
    </row>
    <row r="154" spans="1:17" x14ac:dyDescent="0.3">
      <c r="A154" s="8" t="s">
        <v>426</v>
      </c>
      <c r="B154" s="9" t="s">
        <v>709</v>
      </c>
      <c r="C154" s="9" t="s">
        <v>597</v>
      </c>
      <c r="D154" s="9">
        <v>10</v>
      </c>
      <c r="E154" s="9" t="s">
        <v>105</v>
      </c>
      <c r="F154" s="9" t="s">
        <v>194</v>
      </c>
      <c r="G154" s="10">
        <v>0.51041666666666663</v>
      </c>
      <c r="H154" s="9" t="s">
        <v>489</v>
      </c>
      <c r="I154" s="9">
        <v>4.92</v>
      </c>
      <c r="J154" s="9" t="s">
        <v>28</v>
      </c>
      <c r="K154" s="9">
        <v>211</v>
      </c>
      <c r="L154" s="9">
        <v>99</v>
      </c>
      <c r="M154" s="9" t="s">
        <v>77</v>
      </c>
      <c r="N154" s="9">
        <v>15</v>
      </c>
      <c r="O154" s="9" t="s">
        <v>23</v>
      </c>
      <c r="P154" s="9" t="s">
        <v>78</v>
      </c>
      <c r="Q154" s="11" t="str">
        <f t="shared" si="2"/>
        <v>Restaurant Delay</v>
      </c>
    </row>
    <row r="155" spans="1:17" x14ac:dyDescent="0.3">
      <c r="A155" s="8" t="s">
        <v>428</v>
      </c>
      <c r="B155" s="9" t="s">
        <v>751</v>
      </c>
      <c r="C155" s="9" t="s">
        <v>597</v>
      </c>
      <c r="D155" s="9">
        <v>14</v>
      </c>
      <c r="E155" s="9" t="s">
        <v>774</v>
      </c>
      <c r="F155" s="9" t="s">
        <v>690</v>
      </c>
      <c r="G155" s="10">
        <v>0.44374999999999998</v>
      </c>
      <c r="H155" s="9" t="s">
        <v>315</v>
      </c>
      <c r="I155" s="9">
        <v>6.06</v>
      </c>
      <c r="J155" s="9" t="s">
        <v>129</v>
      </c>
      <c r="K155" s="9">
        <v>293</v>
      </c>
      <c r="L155" s="9">
        <v>112</v>
      </c>
      <c r="M155" s="9" t="s">
        <v>22</v>
      </c>
      <c r="N155" s="9">
        <v>15</v>
      </c>
      <c r="O155" s="9" t="s">
        <v>23</v>
      </c>
      <c r="P155" s="9" t="s">
        <v>24</v>
      </c>
      <c r="Q155" s="11" t="str">
        <f t="shared" si="2"/>
        <v>Distance</v>
      </c>
    </row>
    <row r="156" spans="1:17" x14ac:dyDescent="0.3">
      <c r="A156" s="8" t="s">
        <v>430</v>
      </c>
      <c r="B156" s="9" t="s">
        <v>338</v>
      </c>
      <c r="C156" s="9" t="s">
        <v>597</v>
      </c>
      <c r="D156" s="9">
        <v>18</v>
      </c>
      <c r="E156" s="9" t="s">
        <v>109</v>
      </c>
      <c r="F156" s="9" t="s">
        <v>239</v>
      </c>
      <c r="G156" s="10">
        <v>0.8159722222222221</v>
      </c>
      <c r="H156" s="9" t="s">
        <v>308</v>
      </c>
      <c r="I156" s="9">
        <v>2.17</v>
      </c>
      <c r="J156" s="9" t="s">
        <v>45</v>
      </c>
      <c r="K156" s="9">
        <v>356</v>
      </c>
      <c r="L156" s="9">
        <v>84</v>
      </c>
      <c r="M156" s="9" t="s">
        <v>22</v>
      </c>
      <c r="N156" s="9">
        <v>11</v>
      </c>
      <c r="O156" s="9" t="s">
        <v>34</v>
      </c>
      <c r="P156" s="9" t="s">
        <v>24</v>
      </c>
      <c r="Q156" s="11" t="str">
        <f t="shared" si="2"/>
        <v>Traffic</v>
      </c>
    </row>
    <row r="157" spans="1:17" x14ac:dyDescent="0.3">
      <c r="A157" s="8" t="s">
        <v>434</v>
      </c>
      <c r="B157" s="9" t="s">
        <v>569</v>
      </c>
      <c r="C157" s="9" t="s">
        <v>597</v>
      </c>
      <c r="D157" s="9">
        <v>15</v>
      </c>
      <c r="E157" s="9" t="s">
        <v>218</v>
      </c>
      <c r="F157" s="9" t="s">
        <v>320</v>
      </c>
      <c r="G157" s="10">
        <v>0.78194444444444433</v>
      </c>
      <c r="H157" s="9" t="s">
        <v>396</v>
      </c>
      <c r="I157" s="9">
        <v>4.97</v>
      </c>
      <c r="J157" s="9" t="s">
        <v>62</v>
      </c>
      <c r="K157" s="9">
        <v>309</v>
      </c>
      <c r="L157" s="9">
        <v>101</v>
      </c>
      <c r="M157" s="9" t="s">
        <v>22</v>
      </c>
      <c r="N157" s="9">
        <v>13</v>
      </c>
      <c r="O157" s="9" t="s">
        <v>23</v>
      </c>
      <c r="P157" s="9" t="s">
        <v>24</v>
      </c>
      <c r="Q157" s="11" t="str">
        <f t="shared" si="2"/>
        <v>None</v>
      </c>
    </row>
    <row r="158" spans="1:17" x14ac:dyDescent="0.3">
      <c r="A158" s="8" t="s">
        <v>436</v>
      </c>
      <c r="B158" s="9" t="s">
        <v>696</v>
      </c>
      <c r="C158" s="9" t="s">
        <v>597</v>
      </c>
      <c r="D158" s="9">
        <v>12</v>
      </c>
      <c r="E158" s="9" t="s">
        <v>768</v>
      </c>
      <c r="F158" s="9" t="s">
        <v>675</v>
      </c>
      <c r="G158" s="10">
        <v>0.68680555555555545</v>
      </c>
      <c r="H158" s="9" t="s">
        <v>698</v>
      </c>
      <c r="I158" s="9">
        <v>2.77</v>
      </c>
      <c r="J158" s="9" t="s">
        <v>28</v>
      </c>
      <c r="K158" s="9">
        <v>269</v>
      </c>
      <c r="L158" s="9">
        <v>74</v>
      </c>
      <c r="M158" s="9" t="s">
        <v>22</v>
      </c>
      <c r="N158" s="9">
        <v>17</v>
      </c>
      <c r="O158" s="9" t="s">
        <v>55</v>
      </c>
      <c r="P158" s="9" t="s">
        <v>24</v>
      </c>
      <c r="Q158" s="11" t="str">
        <f t="shared" si="2"/>
        <v>None</v>
      </c>
    </row>
    <row r="159" spans="1:17" x14ac:dyDescent="0.3">
      <c r="A159" s="8" t="s">
        <v>437</v>
      </c>
      <c r="B159" s="9" t="s">
        <v>324</v>
      </c>
      <c r="C159" s="9" t="s">
        <v>597</v>
      </c>
      <c r="D159" s="9">
        <v>14</v>
      </c>
      <c r="E159" s="9" t="s">
        <v>273</v>
      </c>
      <c r="F159" s="9" t="s">
        <v>746</v>
      </c>
      <c r="G159" s="10">
        <v>0.53611111111111109</v>
      </c>
      <c r="H159" s="9" t="s">
        <v>449</v>
      </c>
      <c r="I159" s="9">
        <v>1.49</v>
      </c>
      <c r="J159" s="9" t="s">
        <v>160</v>
      </c>
      <c r="K159" s="9">
        <v>333</v>
      </c>
      <c r="L159" s="9">
        <v>65</v>
      </c>
      <c r="M159" s="9" t="s">
        <v>22</v>
      </c>
      <c r="N159" s="9">
        <v>13</v>
      </c>
      <c r="O159" s="9" t="s">
        <v>23</v>
      </c>
      <c r="P159" s="9" t="s">
        <v>24</v>
      </c>
      <c r="Q159" s="11" t="str">
        <f t="shared" si="2"/>
        <v>None</v>
      </c>
    </row>
    <row r="160" spans="1:17" x14ac:dyDescent="0.3">
      <c r="A160" s="8" t="s">
        <v>439</v>
      </c>
      <c r="B160" s="9" t="s">
        <v>140</v>
      </c>
      <c r="C160" s="9" t="s">
        <v>594</v>
      </c>
      <c r="D160" s="9">
        <v>39</v>
      </c>
      <c r="E160" s="9" t="s">
        <v>762</v>
      </c>
      <c r="F160" s="9" t="s">
        <v>628</v>
      </c>
      <c r="G160" s="10">
        <v>0.86180555555555549</v>
      </c>
      <c r="H160" s="9" t="s">
        <v>639</v>
      </c>
      <c r="I160" s="9">
        <v>1.58</v>
      </c>
      <c r="J160" s="9" t="s">
        <v>99</v>
      </c>
      <c r="K160" s="9">
        <v>320</v>
      </c>
      <c r="L160" s="9">
        <v>73</v>
      </c>
      <c r="M160" s="9" t="s">
        <v>22</v>
      </c>
      <c r="N160" s="9">
        <v>11</v>
      </c>
      <c r="O160" s="9" t="s">
        <v>34</v>
      </c>
      <c r="P160" s="9" t="s">
        <v>24</v>
      </c>
      <c r="Q160" s="11" t="str">
        <f t="shared" si="2"/>
        <v>Traffic</v>
      </c>
    </row>
    <row r="161" spans="1:17" x14ac:dyDescent="0.3">
      <c r="A161" s="8" t="s">
        <v>440</v>
      </c>
      <c r="B161" s="9" t="s">
        <v>776</v>
      </c>
      <c r="C161" s="9" t="s">
        <v>597</v>
      </c>
      <c r="D161" s="9">
        <v>16</v>
      </c>
      <c r="E161" s="9" t="s">
        <v>305</v>
      </c>
      <c r="F161" s="9" t="s">
        <v>777</v>
      </c>
      <c r="G161" s="10">
        <v>0.45208333333333334</v>
      </c>
      <c r="H161" s="9" t="s">
        <v>57</v>
      </c>
      <c r="I161" s="9">
        <v>1.96</v>
      </c>
      <c r="J161" s="9" t="s">
        <v>62</v>
      </c>
      <c r="K161" s="9">
        <v>289</v>
      </c>
      <c r="L161" s="9">
        <v>74</v>
      </c>
      <c r="M161" s="9" t="s">
        <v>22</v>
      </c>
      <c r="N161" s="9">
        <v>15</v>
      </c>
      <c r="O161" s="9" t="s">
        <v>23</v>
      </c>
      <c r="P161" s="9" t="s">
        <v>24</v>
      </c>
      <c r="Q161" s="11" t="str">
        <f t="shared" si="2"/>
        <v>None</v>
      </c>
    </row>
    <row r="162" spans="1:17" x14ac:dyDescent="0.3">
      <c r="A162" s="8" t="s">
        <v>441</v>
      </c>
      <c r="B162" s="9" t="s">
        <v>299</v>
      </c>
      <c r="C162" s="9" t="s">
        <v>597</v>
      </c>
      <c r="D162" s="9">
        <v>12</v>
      </c>
      <c r="E162" s="9" t="s">
        <v>778</v>
      </c>
      <c r="F162" s="9" t="s">
        <v>614</v>
      </c>
      <c r="G162" s="10">
        <v>0.6</v>
      </c>
      <c r="H162" s="9" t="s">
        <v>511</v>
      </c>
      <c r="I162" s="9">
        <v>5.63</v>
      </c>
      <c r="J162" s="9" t="s">
        <v>33</v>
      </c>
      <c r="K162" s="9">
        <v>364</v>
      </c>
      <c r="L162" s="9">
        <v>102</v>
      </c>
      <c r="M162" s="9" t="s">
        <v>22</v>
      </c>
      <c r="N162" s="9">
        <v>17</v>
      </c>
      <c r="O162" s="9" t="s">
        <v>55</v>
      </c>
      <c r="P162" s="9" t="s">
        <v>24</v>
      </c>
      <c r="Q162" s="11" t="str">
        <f t="shared" si="2"/>
        <v>None</v>
      </c>
    </row>
    <row r="163" spans="1:17" x14ac:dyDescent="0.3">
      <c r="A163" s="8" t="s">
        <v>443</v>
      </c>
      <c r="B163" s="9" t="s">
        <v>225</v>
      </c>
      <c r="C163" s="9" t="s">
        <v>597</v>
      </c>
      <c r="D163" s="9">
        <v>12</v>
      </c>
      <c r="E163" s="9" t="s">
        <v>253</v>
      </c>
      <c r="F163" s="9" t="s">
        <v>253</v>
      </c>
      <c r="G163" s="10">
        <v>0.58750000000000002</v>
      </c>
      <c r="H163" s="9" t="s">
        <v>114</v>
      </c>
      <c r="I163" s="9">
        <v>4.75</v>
      </c>
      <c r="J163" s="9" t="s">
        <v>45</v>
      </c>
      <c r="K163" s="9">
        <v>226</v>
      </c>
      <c r="L163" s="9">
        <v>100</v>
      </c>
      <c r="M163" s="9" t="s">
        <v>22</v>
      </c>
      <c r="N163" s="9">
        <v>14</v>
      </c>
      <c r="O163" s="9" t="s">
        <v>23</v>
      </c>
      <c r="P163" s="9" t="s">
        <v>24</v>
      </c>
      <c r="Q163" s="11" t="str">
        <f t="shared" si="2"/>
        <v>None</v>
      </c>
    </row>
    <row r="164" spans="1:17" x14ac:dyDescent="0.3">
      <c r="A164" s="8" t="s">
        <v>444</v>
      </c>
      <c r="B164" s="9" t="s">
        <v>501</v>
      </c>
      <c r="C164" s="9" t="s">
        <v>594</v>
      </c>
      <c r="D164" s="9">
        <v>28</v>
      </c>
      <c r="E164" s="9" t="s">
        <v>365</v>
      </c>
      <c r="F164" s="9" t="s">
        <v>230</v>
      </c>
      <c r="G164" s="10">
        <v>0.77222222222222225</v>
      </c>
      <c r="H164" s="9" t="s">
        <v>169</v>
      </c>
      <c r="I164" s="9">
        <v>6.28</v>
      </c>
      <c r="J164" s="9" t="s">
        <v>129</v>
      </c>
      <c r="K164" s="9">
        <v>163</v>
      </c>
      <c r="L164" s="9">
        <v>114</v>
      </c>
      <c r="M164" s="9" t="s">
        <v>22</v>
      </c>
      <c r="N164" s="9">
        <v>16</v>
      </c>
      <c r="O164" s="9" t="s">
        <v>23</v>
      </c>
      <c r="P164" s="9" t="s">
        <v>24</v>
      </c>
      <c r="Q164" s="11" t="str">
        <f t="shared" si="2"/>
        <v>Restaurant Delay</v>
      </c>
    </row>
    <row r="165" spans="1:17" x14ac:dyDescent="0.3">
      <c r="A165" s="8" t="s">
        <v>446</v>
      </c>
      <c r="B165" s="9" t="s">
        <v>771</v>
      </c>
      <c r="C165" s="9" t="s">
        <v>597</v>
      </c>
      <c r="D165" s="9">
        <v>20</v>
      </c>
      <c r="E165" s="9" t="s">
        <v>670</v>
      </c>
      <c r="F165" s="9" t="s">
        <v>137</v>
      </c>
      <c r="G165" s="10">
        <v>0.54652777777777772</v>
      </c>
      <c r="H165" s="9" t="s">
        <v>643</v>
      </c>
      <c r="I165" s="9">
        <v>1.79</v>
      </c>
      <c r="J165" s="9" t="s">
        <v>45</v>
      </c>
      <c r="K165" s="9">
        <v>212</v>
      </c>
      <c r="L165" s="9">
        <v>67</v>
      </c>
      <c r="M165" s="9" t="s">
        <v>22</v>
      </c>
      <c r="N165" s="9">
        <v>18</v>
      </c>
      <c r="O165" s="9" t="s">
        <v>23</v>
      </c>
      <c r="P165" s="9" t="s">
        <v>24</v>
      </c>
      <c r="Q165" s="11" t="str">
        <f t="shared" si="2"/>
        <v>None</v>
      </c>
    </row>
    <row r="166" spans="1:17" x14ac:dyDescent="0.3">
      <c r="A166" s="8" t="s">
        <v>448</v>
      </c>
      <c r="B166" s="9" t="s">
        <v>729</v>
      </c>
      <c r="C166" s="9" t="s">
        <v>597</v>
      </c>
      <c r="D166" s="9">
        <v>11</v>
      </c>
      <c r="E166" s="9" t="s">
        <v>536</v>
      </c>
      <c r="F166" s="9" t="s">
        <v>606</v>
      </c>
      <c r="G166" s="10">
        <v>0.78888888888888886</v>
      </c>
      <c r="H166" s="9" t="s">
        <v>311</v>
      </c>
      <c r="I166" s="9">
        <v>6.73</v>
      </c>
      <c r="J166" s="9" t="s">
        <v>65</v>
      </c>
      <c r="K166" s="9">
        <v>282</v>
      </c>
      <c r="L166" s="9">
        <v>118</v>
      </c>
      <c r="M166" s="9" t="s">
        <v>22</v>
      </c>
      <c r="N166" s="9">
        <v>17</v>
      </c>
      <c r="O166" s="9" t="s">
        <v>23</v>
      </c>
      <c r="P166" s="9" t="s">
        <v>24</v>
      </c>
      <c r="Q166" s="11" t="str">
        <f t="shared" si="2"/>
        <v>Distance</v>
      </c>
    </row>
    <row r="167" spans="1:17" x14ac:dyDescent="0.3">
      <c r="A167" s="8" t="s">
        <v>450</v>
      </c>
      <c r="B167" s="9" t="s">
        <v>616</v>
      </c>
      <c r="C167" s="9" t="s">
        <v>597</v>
      </c>
      <c r="D167" s="9">
        <v>10</v>
      </c>
      <c r="E167" s="9" t="s">
        <v>387</v>
      </c>
      <c r="F167" s="9" t="s">
        <v>599</v>
      </c>
      <c r="G167" s="10">
        <v>0.84722222222222221</v>
      </c>
      <c r="H167" s="9" t="s">
        <v>779</v>
      </c>
      <c r="I167" s="9">
        <v>7.9</v>
      </c>
      <c r="J167" s="9" t="s">
        <v>21</v>
      </c>
      <c r="K167" s="9">
        <v>273</v>
      </c>
      <c r="L167" s="9">
        <v>137</v>
      </c>
      <c r="M167" s="9" t="s">
        <v>22</v>
      </c>
      <c r="N167" s="9">
        <v>8</v>
      </c>
      <c r="O167" s="9" t="s">
        <v>34</v>
      </c>
      <c r="P167" s="9" t="s">
        <v>24</v>
      </c>
      <c r="Q167" s="11" t="str">
        <f t="shared" si="2"/>
        <v>Traffic</v>
      </c>
    </row>
    <row r="168" spans="1:17" x14ac:dyDescent="0.3">
      <c r="A168" s="8" t="s">
        <v>451</v>
      </c>
      <c r="B168" s="9" t="s">
        <v>233</v>
      </c>
      <c r="C168" s="9" t="s">
        <v>597</v>
      </c>
      <c r="D168" s="9">
        <v>20</v>
      </c>
      <c r="E168" s="9" t="s">
        <v>244</v>
      </c>
      <c r="F168" s="9" t="s">
        <v>120</v>
      </c>
      <c r="G168" s="10">
        <v>0.59652777777777777</v>
      </c>
      <c r="H168" s="9" t="s">
        <v>103</v>
      </c>
      <c r="I168" s="9">
        <v>5.69</v>
      </c>
      <c r="J168" s="9" t="s">
        <v>54</v>
      </c>
      <c r="K168" s="9">
        <v>397</v>
      </c>
      <c r="L168" s="9">
        <v>111</v>
      </c>
      <c r="M168" s="9" t="s">
        <v>22</v>
      </c>
      <c r="N168" s="9">
        <v>13</v>
      </c>
      <c r="O168" s="9" t="s">
        <v>23</v>
      </c>
      <c r="P168" s="9" t="s">
        <v>24</v>
      </c>
      <c r="Q168" s="11" t="str">
        <f t="shared" si="2"/>
        <v>None</v>
      </c>
    </row>
    <row r="169" spans="1:17" x14ac:dyDescent="0.3">
      <c r="A169" s="8" t="s">
        <v>453</v>
      </c>
      <c r="B169" s="9" t="s">
        <v>727</v>
      </c>
      <c r="C169" s="9" t="s">
        <v>597</v>
      </c>
      <c r="D169" s="9">
        <v>17</v>
      </c>
      <c r="E169" s="9" t="s">
        <v>248</v>
      </c>
      <c r="F169" s="9" t="s">
        <v>38</v>
      </c>
      <c r="G169" s="10">
        <v>0.72916666666666674</v>
      </c>
      <c r="H169" s="9" t="s">
        <v>249</v>
      </c>
      <c r="I169" s="9">
        <v>6.82</v>
      </c>
      <c r="J169" s="9" t="s">
        <v>76</v>
      </c>
      <c r="K169" s="9">
        <v>154</v>
      </c>
      <c r="L169" s="9">
        <v>123</v>
      </c>
      <c r="M169" s="9" t="s">
        <v>22</v>
      </c>
      <c r="N169" s="9">
        <v>12</v>
      </c>
      <c r="O169" s="9" t="s">
        <v>23</v>
      </c>
      <c r="P169" s="9" t="s">
        <v>24</v>
      </c>
      <c r="Q169" s="11" t="str">
        <f t="shared" si="2"/>
        <v>Distance</v>
      </c>
    </row>
    <row r="170" spans="1:17" x14ac:dyDescent="0.3">
      <c r="A170" s="8" t="s">
        <v>456</v>
      </c>
      <c r="B170" s="9" t="s">
        <v>198</v>
      </c>
      <c r="C170" s="9" t="s">
        <v>597</v>
      </c>
      <c r="D170" s="9">
        <v>16</v>
      </c>
      <c r="E170" s="9" t="s">
        <v>199</v>
      </c>
      <c r="F170" s="9" t="s">
        <v>200</v>
      </c>
      <c r="G170" s="10">
        <v>0.46388888888888891</v>
      </c>
      <c r="H170" s="9" t="s">
        <v>708</v>
      </c>
      <c r="I170" s="9">
        <v>4.7699999999999996</v>
      </c>
      <c r="J170" s="9" t="s">
        <v>62</v>
      </c>
      <c r="K170" s="9">
        <v>174</v>
      </c>
      <c r="L170" s="9">
        <v>102</v>
      </c>
      <c r="M170" s="9" t="s">
        <v>22</v>
      </c>
      <c r="N170" s="9">
        <v>18</v>
      </c>
      <c r="O170" s="9" t="s">
        <v>23</v>
      </c>
      <c r="P170" s="9" t="s">
        <v>24</v>
      </c>
      <c r="Q170" s="11" t="str">
        <f t="shared" si="2"/>
        <v>None</v>
      </c>
    </row>
    <row r="171" spans="1:17" x14ac:dyDescent="0.3">
      <c r="A171" s="8" t="s">
        <v>457</v>
      </c>
      <c r="B171" s="9" t="s">
        <v>447</v>
      </c>
      <c r="C171" s="9" t="s">
        <v>597</v>
      </c>
      <c r="D171" s="9">
        <v>17</v>
      </c>
      <c r="E171" s="9" t="s">
        <v>650</v>
      </c>
      <c r="F171" s="9" t="s">
        <v>199</v>
      </c>
      <c r="G171" s="10">
        <v>0.46180555555555558</v>
      </c>
      <c r="H171" s="9" t="s">
        <v>42</v>
      </c>
      <c r="I171" s="9">
        <v>5.17</v>
      </c>
      <c r="J171" s="9" t="s">
        <v>118</v>
      </c>
      <c r="K171" s="9">
        <v>248</v>
      </c>
      <c r="L171" s="9">
        <v>102</v>
      </c>
      <c r="M171" s="9" t="s">
        <v>22</v>
      </c>
      <c r="N171" s="9">
        <v>13</v>
      </c>
      <c r="O171" s="9" t="s">
        <v>23</v>
      </c>
      <c r="P171" s="9" t="s">
        <v>24</v>
      </c>
      <c r="Q171" s="11" t="str">
        <f t="shared" si="2"/>
        <v>None</v>
      </c>
    </row>
    <row r="172" spans="1:17" x14ac:dyDescent="0.3">
      <c r="A172" s="8" t="s">
        <v>458</v>
      </c>
      <c r="B172" s="9" t="s">
        <v>696</v>
      </c>
      <c r="C172" s="9" t="s">
        <v>597</v>
      </c>
      <c r="D172" s="9">
        <v>15</v>
      </c>
      <c r="E172" s="9" t="s">
        <v>675</v>
      </c>
      <c r="F172" s="9" t="s">
        <v>675</v>
      </c>
      <c r="G172" s="10">
        <v>0.68402777777777768</v>
      </c>
      <c r="H172" s="9" t="s">
        <v>454</v>
      </c>
      <c r="I172" s="9">
        <v>7.87</v>
      </c>
      <c r="J172" s="9" t="s">
        <v>76</v>
      </c>
      <c r="K172" s="9">
        <v>163</v>
      </c>
      <c r="L172" s="9">
        <v>127</v>
      </c>
      <c r="M172" s="9" t="s">
        <v>22</v>
      </c>
      <c r="N172" s="9">
        <v>20</v>
      </c>
      <c r="O172" s="9" t="s">
        <v>55</v>
      </c>
      <c r="P172" s="9" t="s">
        <v>24</v>
      </c>
      <c r="Q172" s="11" t="str">
        <f t="shared" si="2"/>
        <v>Distance</v>
      </c>
    </row>
    <row r="173" spans="1:17" x14ac:dyDescent="0.3">
      <c r="A173" s="8" t="s">
        <v>459</v>
      </c>
      <c r="B173" s="9" t="s">
        <v>198</v>
      </c>
      <c r="C173" s="9" t="s">
        <v>597</v>
      </c>
      <c r="D173" s="9">
        <v>12</v>
      </c>
      <c r="E173" s="9" t="s">
        <v>706</v>
      </c>
      <c r="F173" s="9" t="s">
        <v>706</v>
      </c>
      <c r="G173" s="10">
        <v>0.45694444444444443</v>
      </c>
      <c r="H173" s="9" t="s">
        <v>58</v>
      </c>
      <c r="I173" s="9">
        <v>4.28</v>
      </c>
      <c r="J173" s="9" t="s">
        <v>69</v>
      </c>
      <c r="K173" s="9">
        <v>363</v>
      </c>
      <c r="L173" s="9">
        <v>94</v>
      </c>
      <c r="M173" s="9" t="s">
        <v>22</v>
      </c>
      <c r="N173" s="9">
        <v>13</v>
      </c>
      <c r="O173" s="9" t="s">
        <v>23</v>
      </c>
      <c r="P173" s="9" t="s">
        <v>24</v>
      </c>
      <c r="Q173" s="11" t="str">
        <f t="shared" si="2"/>
        <v>None</v>
      </c>
    </row>
    <row r="174" spans="1:17" x14ac:dyDescent="0.3">
      <c r="A174" s="8" t="s">
        <v>462</v>
      </c>
      <c r="B174" s="9" t="s">
        <v>53</v>
      </c>
      <c r="C174" s="9" t="s">
        <v>594</v>
      </c>
      <c r="D174" s="9">
        <v>37</v>
      </c>
      <c r="E174" s="9" t="s">
        <v>716</v>
      </c>
      <c r="F174" s="9" t="s">
        <v>313</v>
      </c>
      <c r="G174" s="10">
        <v>0.73333333333333328</v>
      </c>
      <c r="H174" s="9" t="s">
        <v>128</v>
      </c>
      <c r="I174" s="9">
        <v>5.52</v>
      </c>
      <c r="J174" s="9" t="s">
        <v>122</v>
      </c>
      <c r="K174" s="9">
        <v>240</v>
      </c>
      <c r="L174" s="9">
        <v>104</v>
      </c>
      <c r="M174" s="9" t="s">
        <v>22</v>
      </c>
      <c r="N174" s="9">
        <v>19</v>
      </c>
      <c r="O174" s="9" t="s">
        <v>55</v>
      </c>
      <c r="P174" s="9" t="s">
        <v>24</v>
      </c>
      <c r="Q174" s="11" t="str">
        <f t="shared" si="2"/>
        <v>Restaurant Delay</v>
      </c>
    </row>
    <row r="175" spans="1:17" x14ac:dyDescent="0.3">
      <c r="A175" s="8" t="s">
        <v>465</v>
      </c>
      <c r="B175" s="9" t="s">
        <v>780</v>
      </c>
      <c r="C175" s="9" t="s">
        <v>597</v>
      </c>
      <c r="D175" s="9">
        <v>17</v>
      </c>
      <c r="E175" s="9" t="s">
        <v>781</v>
      </c>
      <c r="F175" s="9" t="s">
        <v>525</v>
      </c>
      <c r="G175" s="10">
        <v>0.46527777777777779</v>
      </c>
      <c r="H175" s="9" t="s">
        <v>42</v>
      </c>
      <c r="I175" s="9">
        <v>3.13</v>
      </c>
      <c r="J175" s="9" t="s">
        <v>69</v>
      </c>
      <c r="K175" s="9">
        <v>302</v>
      </c>
      <c r="L175" s="9">
        <v>84</v>
      </c>
      <c r="M175" s="9" t="s">
        <v>22</v>
      </c>
      <c r="N175" s="9">
        <v>12</v>
      </c>
      <c r="O175" s="9" t="s">
        <v>23</v>
      </c>
      <c r="P175" s="9" t="s">
        <v>24</v>
      </c>
      <c r="Q175" s="11" t="str">
        <f t="shared" si="2"/>
        <v>None</v>
      </c>
    </row>
    <row r="176" spans="1:17" x14ac:dyDescent="0.3">
      <c r="A176" s="8" t="s">
        <v>466</v>
      </c>
      <c r="B176" s="9" t="s">
        <v>139</v>
      </c>
      <c r="C176" s="9" t="s">
        <v>597</v>
      </c>
      <c r="D176" s="9">
        <v>14</v>
      </c>
      <c r="E176" s="9" t="s">
        <v>685</v>
      </c>
      <c r="F176" s="9" t="s">
        <v>61</v>
      </c>
      <c r="G176" s="10">
        <v>0.83263888888888882</v>
      </c>
      <c r="H176" s="9" t="s">
        <v>731</v>
      </c>
      <c r="I176" s="9">
        <v>6.51</v>
      </c>
      <c r="J176" s="9" t="s">
        <v>28</v>
      </c>
      <c r="K176" s="9">
        <v>283</v>
      </c>
      <c r="L176" s="9">
        <v>129</v>
      </c>
      <c r="M176" s="9" t="s">
        <v>22</v>
      </c>
      <c r="N176" s="9">
        <v>8</v>
      </c>
      <c r="O176" s="9" t="s">
        <v>34</v>
      </c>
      <c r="P176" s="9" t="s">
        <v>24</v>
      </c>
      <c r="Q176" s="11" t="str">
        <f t="shared" si="2"/>
        <v>Traffic</v>
      </c>
    </row>
    <row r="177" spans="1:17" x14ac:dyDescent="0.3">
      <c r="A177" s="8" t="s">
        <v>467</v>
      </c>
      <c r="B177" s="9" t="s">
        <v>32</v>
      </c>
      <c r="C177" s="9" t="s">
        <v>597</v>
      </c>
      <c r="D177" s="9">
        <v>10</v>
      </c>
      <c r="E177" s="9" t="s">
        <v>431</v>
      </c>
      <c r="F177" s="9" t="s">
        <v>307</v>
      </c>
      <c r="G177" s="10">
        <v>0.84166666666666656</v>
      </c>
      <c r="H177" s="9" t="s">
        <v>638</v>
      </c>
      <c r="I177" s="9">
        <v>1.1000000000000001</v>
      </c>
      <c r="J177" s="9" t="s">
        <v>21</v>
      </c>
      <c r="K177" s="9">
        <v>244</v>
      </c>
      <c r="L177" s="9">
        <v>74</v>
      </c>
      <c r="M177" s="9" t="s">
        <v>22</v>
      </c>
      <c r="N177" s="9">
        <v>12</v>
      </c>
      <c r="O177" s="9" t="s">
        <v>34</v>
      </c>
      <c r="P177" s="9" t="s">
        <v>24</v>
      </c>
      <c r="Q177" s="11" t="str">
        <f t="shared" si="2"/>
        <v>Traffic</v>
      </c>
    </row>
    <row r="178" spans="1:17" x14ac:dyDescent="0.3">
      <c r="A178" s="8" t="s">
        <v>470</v>
      </c>
      <c r="B178" s="9" t="s">
        <v>774</v>
      </c>
      <c r="C178" s="9" t="s">
        <v>597</v>
      </c>
      <c r="D178" s="9">
        <v>19</v>
      </c>
      <c r="E178" s="9" t="s">
        <v>627</v>
      </c>
      <c r="F178" s="9" t="s">
        <v>627</v>
      </c>
      <c r="G178" s="10">
        <v>0.45763888888888887</v>
      </c>
      <c r="H178" s="9" t="s">
        <v>258</v>
      </c>
      <c r="I178" s="9">
        <v>7.27</v>
      </c>
      <c r="J178" s="9" t="s">
        <v>129</v>
      </c>
      <c r="K178" s="9">
        <v>264</v>
      </c>
      <c r="L178" s="9">
        <v>125</v>
      </c>
      <c r="M178" s="9" t="s">
        <v>22</v>
      </c>
      <c r="N178" s="9">
        <v>12</v>
      </c>
      <c r="O178" s="9" t="s">
        <v>23</v>
      </c>
      <c r="P178" s="9" t="s">
        <v>24</v>
      </c>
      <c r="Q178" s="11" t="str">
        <f t="shared" si="2"/>
        <v>Distance</v>
      </c>
    </row>
    <row r="179" spans="1:17" x14ac:dyDescent="0.3">
      <c r="A179" s="8" t="s">
        <v>472</v>
      </c>
      <c r="B179" s="9" t="s">
        <v>86</v>
      </c>
      <c r="C179" s="9" t="s">
        <v>597</v>
      </c>
      <c r="D179" s="9">
        <v>18</v>
      </c>
      <c r="E179" s="9" t="s">
        <v>606</v>
      </c>
      <c r="F179" s="9" t="s">
        <v>238</v>
      </c>
      <c r="G179" s="10">
        <v>0.79027777777777775</v>
      </c>
      <c r="H179" s="9" t="s">
        <v>684</v>
      </c>
      <c r="I179" s="9">
        <v>7.37</v>
      </c>
      <c r="J179" s="9" t="s">
        <v>69</v>
      </c>
      <c r="K179" s="9">
        <v>379</v>
      </c>
      <c r="L179" s="9">
        <v>124</v>
      </c>
      <c r="M179" s="9" t="s">
        <v>22</v>
      </c>
      <c r="N179" s="9">
        <v>12</v>
      </c>
      <c r="O179" s="9" t="s">
        <v>23</v>
      </c>
      <c r="P179" s="9" t="s">
        <v>24</v>
      </c>
      <c r="Q179" s="11" t="str">
        <f t="shared" si="2"/>
        <v>Distance</v>
      </c>
    </row>
    <row r="180" spans="1:17" x14ac:dyDescent="0.3">
      <c r="A180" s="8" t="s">
        <v>474</v>
      </c>
      <c r="B180" s="9" t="s">
        <v>20</v>
      </c>
      <c r="C180" s="9" t="s">
        <v>597</v>
      </c>
      <c r="D180" s="9">
        <v>16</v>
      </c>
      <c r="E180" s="9" t="s">
        <v>746</v>
      </c>
      <c r="F180" s="9" t="s">
        <v>176</v>
      </c>
      <c r="G180" s="10">
        <v>0.53749999999999998</v>
      </c>
      <c r="H180" s="9" t="s">
        <v>531</v>
      </c>
      <c r="I180" s="9">
        <v>3.95</v>
      </c>
      <c r="J180" s="9" t="s">
        <v>54</v>
      </c>
      <c r="K180" s="9">
        <v>368</v>
      </c>
      <c r="L180" s="9">
        <v>93</v>
      </c>
      <c r="M180" s="9" t="s">
        <v>22</v>
      </c>
      <c r="N180" s="9">
        <v>14</v>
      </c>
      <c r="O180" s="9" t="s">
        <v>23</v>
      </c>
      <c r="P180" s="9" t="s">
        <v>24</v>
      </c>
      <c r="Q180" s="11" t="str">
        <f t="shared" si="2"/>
        <v>None</v>
      </c>
    </row>
    <row r="181" spans="1:17" x14ac:dyDescent="0.3">
      <c r="A181" s="8" t="s">
        <v>475</v>
      </c>
      <c r="B181" s="9" t="s">
        <v>281</v>
      </c>
      <c r="C181" s="9" t="s">
        <v>594</v>
      </c>
      <c r="D181" s="9">
        <v>27</v>
      </c>
      <c r="E181" s="9" t="s">
        <v>697</v>
      </c>
      <c r="F181" s="9" t="s">
        <v>601</v>
      </c>
      <c r="G181" s="10">
        <v>0.70416666666666672</v>
      </c>
      <c r="H181" s="9" t="s">
        <v>747</v>
      </c>
      <c r="I181" s="9">
        <v>6.74</v>
      </c>
      <c r="J181" s="9" t="s">
        <v>21</v>
      </c>
      <c r="K181" s="9">
        <v>251</v>
      </c>
      <c r="L181" s="9">
        <v>113</v>
      </c>
      <c r="M181" s="9" t="s">
        <v>22</v>
      </c>
      <c r="N181" s="9">
        <v>20</v>
      </c>
      <c r="O181" s="9" t="s">
        <v>55</v>
      </c>
      <c r="P181" s="9" t="s">
        <v>24</v>
      </c>
      <c r="Q181" s="11" t="str">
        <f t="shared" si="2"/>
        <v>Restaurant Delay</v>
      </c>
    </row>
    <row r="182" spans="1:17" x14ac:dyDescent="0.3">
      <c r="A182" s="8" t="s">
        <v>476</v>
      </c>
      <c r="B182" s="9" t="s">
        <v>220</v>
      </c>
      <c r="C182" s="9" t="s">
        <v>597</v>
      </c>
      <c r="D182" s="9">
        <v>19</v>
      </c>
      <c r="E182" s="9" t="s">
        <v>783</v>
      </c>
      <c r="F182" s="9" t="s">
        <v>647</v>
      </c>
      <c r="G182" s="10">
        <v>0.63611111111111107</v>
      </c>
      <c r="H182" s="9" t="s">
        <v>784</v>
      </c>
      <c r="I182" s="9">
        <v>5.96</v>
      </c>
      <c r="J182" s="9" t="s">
        <v>211</v>
      </c>
      <c r="K182" s="9">
        <v>182</v>
      </c>
      <c r="L182" s="9">
        <v>104</v>
      </c>
      <c r="M182" s="9" t="s">
        <v>22</v>
      </c>
      <c r="N182" s="9">
        <v>15</v>
      </c>
      <c r="O182" s="9" t="s">
        <v>55</v>
      </c>
      <c r="P182" s="9" t="s">
        <v>24</v>
      </c>
      <c r="Q182" s="11" t="str">
        <f t="shared" si="2"/>
        <v>None</v>
      </c>
    </row>
    <row r="183" spans="1:17" x14ac:dyDescent="0.3">
      <c r="A183" s="8" t="s">
        <v>478</v>
      </c>
      <c r="B183" s="9" t="s">
        <v>559</v>
      </c>
      <c r="C183" s="9" t="s">
        <v>597</v>
      </c>
      <c r="D183" s="9">
        <v>14</v>
      </c>
      <c r="E183" s="9" t="s">
        <v>637</v>
      </c>
      <c r="F183" s="9" t="s">
        <v>785</v>
      </c>
      <c r="G183" s="10">
        <v>0.82916666666666672</v>
      </c>
      <c r="H183" s="9" t="s">
        <v>664</v>
      </c>
      <c r="I183" s="9">
        <v>1.69</v>
      </c>
      <c r="J183" s="9" t="s">
        <v>118</v>
      </c>
      <c r="K183" s="9">
        <v>338</v>
      </c>
      <c r="L183" s="9">
        <v>74</v>
      </c>
      <c r="M183" s="9" t="s">
        <v>22</v>
      </c>
      <c r="N183" s="9">
        <v>9</v>
      </c>
      <c r="O183" s="9" t="s">
        <v>34</v>
      </c>
      <c r="P183" s="9" t="s">
        <v>24</v>
      </c>
      <c r="Q183" s="11" t="str">
        <f t="shared" si="2"/>
        <v>Traffic</v>
      </c>
    </row>
    <row r="184" spans="1:17" x14ac:dyDescent="0.3">
      <c r="A184" s="8" t="s">
        <v>480</v>
      </c>
      <c r="B184" s="9" t="s">
        <v>221</v>
      </c>
      <c r="C184" s="9" t="s">
        <v>597</v>
      </c>
      <c r="D184" s="9">
        <v>13</v>
      </c>
      <c r="E184" s="9" t="s">
        <v>714</v>
      </c>
      <c r="F184" s="9" t="s">
        <v>710</v>
      </c>
      <c r="G184" s="10">
        <v>0.64513888888888882</v>
      </c>
      <c r="H184" s="9" t="s">
        <v>660</v>
      </c>
      <c r="I184" s="9">
        <v>4.8499999999999996</v>
      </c>
      <c r="J184" s="9" t="s">
        <v>118</v>
      </c>
      <c r="K184" s="9">
        <v>370</v>
      </c>
      <c r="L184" s="9">
        <v>93</v>
      </c>
      <c r="M184" s="9" t="s">
        <v>22</v>
      </c>
      <c r="N184" s="9">
        <v>19</v>
      </c>
      <c r="O184" s="9" t="s">
        <v>55</v>
      </c>
      <c r="P184" s="9" t="s">
        <v>24</v>
      </c>
      <c r="Q184" s="11" t="str">
        <f t="shared" si="2"/>
        <v>None</v>
      </c>
    </row>
    <row r="185" spans="1:17" x14ac:dyDescent="0.3">
      <c r="A185" s="8" t="s">
        <v>482</v>
      </c>
      <c r="B185" s="9" t="s">
        <v>270</v>
      </c>
      <c r="C185" s="9" t="s">
        <v>594</v>
      </c>
      <c r="D185" s="9">
        <v>36</v>
      </c>
      <c r="E185" s="9" t="s">
        <v>283</v>
      </c>
      <c r="F185" s="9" t="s">
        <v>425</v>
      </c>
      <c r="G185" s="10">
        <v>0.54236111111111107</v>
      </c>
      <c r="H185" s="9" t="s">
        <v>538</v>
      </c>
      <c r="I185" s="9">
        <v>1.26</v>
      </c>
      <c r="J185" s="9" t="s">
        <v>21</v>
      </c>
      <c r="K185" s="9">
        <v>191</v>
      </c>
      <c r="L185" s="9">
        <v>67</v>
      </c>
      <c r="M185" s="9" t="s">
        <v>22</v>
      </c>
      <c r="N185" s="9">
        <v>18</v>
      </c>
      <c r="O185" s="9" t="s">
        <v>23</v>
      </c>
      <c r="P185" s="9" t="s">
        <v>24</v>
      </c>
      <c r="Q185" s="11" t="str">
        <f t="shared" si="2"/>
        <v>Restaurant Delay</v>
      </c>
    </row>
    <row r="186" spans="1:17" x14ac:dyDescent="0.3">
      <c r="A186" s="8" t="s">
        <v>483</v>
      </c>
      <c r="B186" s="9" t="s">
        <v>266</v>
      </c>
      <c r="C186" s="9" t="s">
        <v>597</v>
      </c>
      <c r="D186" s="9">
        <v>20</v>
      </c>
      <c r="E186" s="9" t="s">
        <v>199</v>
      </c>
      <c r="F186" s="9" t="s">
        <v>143</v>
      </c>
      <c r="G186" s="10">
        <v>0.46180555555555552</v>
      </c>
      <c r="H186" s="9" t="s">
        <v>726</v>
      </c>
      <c r="I186" s="9">
        <v>3.97</v>
      </c>
      <c r="J186" s="9" t="s">
        <v>65</v>
      </c>
      <c r="K186" s="9">
        <v>300</v>
      </c>
      <c r="L186" s="9">
        <v>93</v>
      </c>
      <c r="M186" s="9" t="s">
        <v>22</v>
      </c>
      <c r="N186" s="9">
        <v>17</v>
      </c>
      <c r="O186" s="9" t="s">
        <v>23</v>
      </c>
      <c r="P186" s="9" t="s">
        <v>24</v>
      </c>
      <c r="Q186" s="11" t="str">
        <f t="shared" si="2"/>
        <v>None</v>
      </c>
    </row>
    <row r="187" spans="1:17" x14ac:dyDescent="0.3">
      <c r="A187" s="8" t="s">
        <v>484</v>
      </c>
      <c r="B187" s="9" t="s">
        <v>82</v>
      </c>
      <c r="C187" s="9" t="s">
        <v>597</v>
      </c>
      <c r="D187" s="9">
        <v>14</v>
      </c>
      <c r="E187" s="9" t="s">
        <v>401</v>
      </c>
      <c r="F187" s="9" t="s">
        <v>664</v>
      </c>
      <c r="G187" s="10">
        <v>0.85277777777777775</v>
      </c>
      <c r="H187" s="9" t="s">
        <v>786</v>
      </c>
      <c r="I187" s="9">
        <v>6.47</v>
      </c>
      <c r="J187" s="9" t="s">
        <v>90</v>
      </c>
      <c r="K187" s="9">
        <v>235</v>
      </c>
      <c r="L187" s="9">
        <v>122</v>
      </c>
      <c r="M187" s="9" t="s">
        <v>22</v>
      </c>
      <c r="N187" s="9">
        <v>11</v>
      </c>
      <c r="O187" s="9" t="s">
        <v>34</v>
      </c>
      <c r="P187" s="9" t="s">
        <v>24</v>
      </c>
      <c r="Q187" s="11" t="str">
        <f t="shared" si="2"/>
        <v>Traffic</v>
      </c>
    </row>
    <row r="188" spans="1:17" x14ac:dyDescent="0.3">
      <c r="A188" s="8" t="s">
        <v>487</v>
      </c>
      <c r="B188" s="9" t="s">
        <v>787</v>
      </c>
      <c r="C188" s="9" t="s">
        <v>597</v>
      </c>
      <c r="D188" s="9">
        <v>20</v>
      </c>
      <c r="E188" s="9" t="s">
        <v>769</v>
      </c>
      <c r="F188" s="9" t="s">
        <v>769</v>
      </c>
      <c r="G188" s="10">
        <v>0.68680555555555556</v>
      </c>
      <c r="H188" s="9" t="s">
        <v>581</v>
      </c>
      <c r="I188" s="9">
        <v>7.87</v>
      </c>
      <c r="J188" s="9" t="s">
        <v>21</v>
      </c>
      <c r="K188" s="9">
        <v>380</v>
      </c>
      <c r="L188" s="9">
        <v>123</v>
      </c>
      <c r="M188" s="9" t="s">
        <v>22</v>
      </c>
      <c r="N188" s="9">
        <v>15</v>
      </c>
      <c r="O188" s="9" t="s">
        <v>55</v>
      </c>
      <c r="P188" s="9" t="s">
        <v>24</v>
      </c>
      <c r="Q188" s="11" t="str">
        <f t="shared" si="2"/>
        <v>None</v>
      </c>
    </row>
    <row r="189" spans="1:17" x14ac:dyDescent="0.3">
      <c r="A189" s="8" t="s">
        <v>488</v>
      </c>
      <c r="B189" s="9" t="s">
        <v>613</v>
      </c>
      <c r="C189" s="9" t="s">
        <v>594</v>
      </c>
      <c r="D189" s="9">
        <v>27</v>
      </c>
      <c r="E189" s="9" t="s">
        <v>781</v>
      </c>
      <c r="F189" s="9" t="s">
        <v>389</v>
      </c>
      <c r="G189" s="10">
        <v>0.47291666666666671</v>
      </c>
      <c r="H189" s="9" t="s">
        <v>134</v>
      </c>
      <c r="I189" s="9">
        <v>1.25</v>
      </c>
      <c r="J189" s="9" t="s">
        <v>211</v>
      </c>
      <c r="K189" s="9">
        <v>263</v>
      </c>
      <c r="L189" s="9">
        <v>63</v>
      </c>
      <c r="M189" s="9" t="s">
        <v>22</v>
      </c>
      <c r="N189" s="9">
        <v>16</v>
      </c>
      <c r="O189" s="9" t="s">
        <v>23</v>
      </c>
      <c r="P189" s="9" t="s">
        <v>24</v>
      </c>
      <c r="Q189" s="11" t="str">
        <f t="shared" si="2"/>
        <v>Restaurant Delay</v>
      </c>
    </row>
    <row r="190" spans="1:17" x14ac:dyDescent="0.3">
      <c r="A190" s="8" t="s">
        <v>490</v>
      </c>
      <c r="B190" s="9" t="s">
        <v>124</v>
      </c>
      <c r="C190" s="9" t="s">
        <v>597</v>
      </c>
      <c r="D190" s="9">
        <v>15</v>
      </c>
      <c r="E190" s="9" t="s">
        <v>609</v>
      </c>
      <c r="F190" s="9" t="s">
        <v>609</v>
      </c>
      <c r="G190" s="10">
        <v>0.60347222222222219</v>
      </c>
      <c r="H190" s="9" t="s">
        <v>647</v>
      </c>
      <c r="I190" s="9">
        <v>7.61</v>
      </c>
      <c r="J190" s="9" t="s">
        <v>45</v>
      </c>
      <c r="K190" s="9">
        <v>196</v>
      </c>
      <c r="L190" s="9">
        <v>124</v>
      </c>
      <c r="M190" s="9" t="s">
        <v>22</v>
      </c>
      <c r="N190" s="9">
        <v>17</v>
      </c>
      <c r="O190" s="9" t="s">
        <v>55</v>
      </c>
      <c r="P190" s="9" t="s">
        <v>24</v>
      </c>
      <c r="Q190" s="11" t="str">
        <f t="shared" si="2"/>
        <v>Distance</v>
      </c>
    </row>
    <row r="191" spans="1:17" x14ac:dyDescent="0.3">
      <c r="A191" s="8" t="s">
        <v>491</v>
      </c>
      <c r="B191" s="9" t="s">
        <v>287</v>
      </c>
      <c r="C191" s="9" t="s">
        <v>597</v>
      </c>
      <c r="D191" s="9">
        <v>19</v>
      </c>
      <c r="E191" s="9" t="s">
        <v>710</v>
      </c>
      <c r="F191" s="9" t="s">
        <v>710</v>
      </c>
      <c r="G191" s="10">
        <v>0.64513888888888882</v>
      </c>
      <c r="H191" s="9" t="s">
        <v>172</v>
      </c>
      <c r="I191" s="9">
        <v>4.32</v>
      </c>
      <c r="J191" s="9" t="s">
        <v>49</v>
      </c>
      <c r="K191" s="9">
        <v>388</v>
      </c>
      <c r="L191" s="9">
        <v>92</v>
      </c>
      <c r="M191" s="9" t="s">
        <v>22</v>
      </c>
      <c r="N191" s="9">
        <v>18</v>
      </c>
      <c r="O191" s="9" t="s">
        <v>55</v>
      </c>
      <c r="P191" s="9" t="s">
        <v>24</v>
      </c>
      <c r="Q191" s="11" t="str">
        <f t="shared" si="2"/>
        <v>None</v>
      </c>
    </row>
    <row r="192" spans="1:17" x14ac:dyDescent="0.3">
      <c r="A192" s="8" t="s">
        <v>494</v>
      </c>
      <c r="B192" s="9" t="s">
        <v>140</v>
      </c>
      <c r="C192" s="9" t="s">
        <v>597</v>
      </c>
      <c r="D192" s="9">
        <v>16</v>
      </c>
      <c r="E192" s="9" t="s">
        <v>556</v>
      </c>
      <c r="F192" s="9" t="s">
        <v>335</v>
      </c>
      <c r="G192" s="10">
        <v>0.84513888888888888</v>
      </c>
      <c r="H192" s="9" t="s">
        <v>731</v>
      </c>
      <c r="I192" s="9">
        <v>3.37</v>
      </c>
      <c r="J192" s="9" t="s">
        <v>122</v>
      </c>
      <c r="K192" s="9">
        <v>281</v>
      </c>
      <c r="L192" s="9">
        <v>93</v>
      </c>
      <c r="M192" s="9" t="s">
        <v>22</v>
      </c>
      <c r="N192" s="9">
        <v>12</v>
      </c>
      <c r="O192" s="9" t="s">
        <v>34</v>
      </c>
      <c r="P192" s="9" t="s">
        <v>24</v>
      </c>
      <c r="Q192" s="11" t="str">
        <f t="shared" si="2"/>
        <v>Traffic</v>
      </c>
    </row>
    <row r="193" spans="1:17" x14ac:dyDescent="0.3">
      <c r="A193" s="8" t="s">
        <v>496</v>
      </c>
      <c r="B193" s="9" t="s">
        <v>110</v>
      </c>
      <c r="C193" s="9" t="s">
        <v>597</v>
      </c>
      <c r="D193" s="9">
        <v>18</v>
      </c>
      <c r="E193" s="9" t="s">
        <v>445</v>
      </c>
      <c r="F193" s="9" t="s">
        <v>150</v>
      </c>
      <c r="G193" s="10">
        <v>0.8388888888888888</v>
      </c>
      <c r="H193" s="9" t="s">
        <v>674</v>
      </c>
      <c r="I193" s="9">
        <v>5.76</v>
      </c>
      <c r="J193" s="9" t="s">
        <v>54</v>
      </c>
      <c r="K193" s="9">
        <v>192</v>
      </c>
      <c r="L193" s="9">
        <v>121</v>
      </c>
      <c r="M193" s="9" t="s">
        <v>22</v>
      </c>
      <c r="N193" s="9">
        <v>11</v>
      </c>
      <c r="O193" s="9" t="s">
        <v>34</v>
      </c>
      <c r="P193" s="9" t="s">
        <v>24</v>
      </c>
      <c r="Q193" s="11" t="str">
        <f t="shared" si="2"/>
        <v>Traffic</v>
      </c>
    </row>
    <row r="194" spans="1:17" x14ac:dyDescent="0.3">
      <c r="A194" s="8" t="s">
        <v>497</v>
      </c>
      <c r="B194" s="9" t="s">
        <v>355</v>
      </c>
      <c r="C194" s="9" t="s">
        <v>597</v>
      </c>
      <c r="D194" s="9">
        <v>16</v>
      </c>
      <c r="E194" s="9" t="s">
        <v>521</v>
      </c>
      <c r="F194" s="9" t="s">
        <v>81</v>
      </c>
      <c r="G194" s="10">
        <v>0.80625000000000002</v>
      </c>
      <c r="H194" s="9" t="s">
        <v>773</v>
      </c>
      <c r="I194" s="9">
        <v>2.81</v>
      </c>
      <c r="J194" s="9" t="s">
        <v>76</v>
      </c>
      <c r="K194" s="9">
        <v>350</v>
      </c>
      <c r="L194" s="9">
        <v>82</v>
      </c>
      <c r="M194" s="9" t="s">
        <v>77</v>
      </c>
      <c r="N194" s="9">
        <v>16</v>
      </c>
      <c r="O194" s="9" t="s">
        <v>23</v>
      </c>
      <c r="P194" s="9" t="s">
        <v>78</v>
      </c>
      <c r="Q194" s="11" t="str">
        <f t="shared" si="2"/>
        <v>Restaurant Delay</v>
      </c>
    </row>
    <row r="195" spans="1:17" x14ac:dyDescent="0.3">
      <c r="A195" s="8" t="s">
        <v>498</v>
      </c>
      <c r="B195" s="9" t="s">
        <v>571</v>
      </c>
      <c r="C195" s="9" t="s">
        <v>597</v>
      </c>
      <c r="D195" s="9">
        <v>13</v>
      </c>
      <c r="E195" s="9" t="s">
        <v>692</v>
      </c>
      <c r="F195" s="9" t="s">
        <v>229</v>
      </c>
      <c r="G195" s="10">
        <v>0.75347222222222221</v>
      </c>
      <c r="H195" s="9" t="s">
        <v>645</v>
      </c>
      <c r="I195" s="9">
        <v>2.46</v>
      </c>
      <c r="J195" s="9" t="s">
        <v>65</v>
      </c>
      <c r="K195" s="9">
        <v>328</v>
      </c>
      <c r="L195" s="9">
        <v>77</v>
      </c>
      <c r="M195" s="9" t="s">
        <v>22</v>
      </c>
      <c r="N195" s="9">
        <v>16</v>
      </c>
      <c r="O195" s="9" t="s">
        <v>23</v>
      </c>
      <c r="P195" s="9" t="s">
        <v>24</v>
      </c>
      <c r="Q195" s="11" t="str">
        <f t="shared" ref="Q195:Q251" si="3">IF(M195="Failed",
IF(O195="High","Traffic",
IF(N195&lt;10,"No Rider","Restaurant Delay")),
IF(((H195-B195)*1440 - (D195 + I195*5))&lt;=7,"None",
IF(O195="High","Traffic",
IF(N195&lt;10,"No Rider",
IF(C195="Bulk","Restaurant Delay",
IF(I195&gt;=6,"Distance","None"))))))</f>
        <v>None</v>
      </c>
    </row>
    <row r="196" spans="1:17" x14ac:dyDescent="0.3">
      <c r="A196" s="8" t="s">
        <v>500</v>
      </c>
      <c r="B196" s="9" t="s">
        <v>744</v>
      </c>
      <c r="C196" s="9" t="s">
        <v>597</v>
      </c>
      <c r="D196" s="9">
        <v>10</v>
      </c>
      <c r="E196" s="9" t="s">
        <v>52</v>
      </c>
      <c r="F196" s="9" t="s">
        <v>52</v>
      </c>
      <c r="G196" s="10">
        <v>0.7</v>
      </c>
      <c r="H196" s="9" t="s">
        <v>504</v>
      </c>
      <c r="I196" s="9">
        <v>3.49</v>
      </c>
      <c r="J196" s="9" t="s">
        <v>99</v>
      </c>
      <c r="K196" s="9">
        <v>288</v>
      </c>
      <c r="L196" s="9">
        <v>79</v>
      </c>
      <c r="M196" s="9" t="s">
        <v>22</v>
      </c>
      <c r="N196" s="9">
        <v>20</v>
      </c>
      <c r="O196" s="9" t="s">
        <v>55</v>
      </c>
      <c r="P196" s="9" t="s">
        <v>24</v>
      </c>
      <c r="Q196" s="11" t="str">
        <f t="shared" si="3"/>
        <v>None</v>
      </c>
    </row>
    <row r="197" spans="1:17" x14ac:dyDescent="0.3">
      <c r="A197" s="8" t="s">
        <v>502</v>
      </c>
      <c r="B197" s="9" t="s">
        <v>636</v>
      </c>
      <c r="C197" s="9" t="s">
        <v>597</v>
      </c>
      <c r="D197" s="9">
        <v>15</v>
      </c>
      <c r="E197" s="9" t="s">
        <v>663</v>
      </c>
      <c r="F197" s="9" t="s">
        <v>663</v>
      </c>
      <c r="G197" s="10">
        <v>0.64861111111111114</v>
      </c>
      <c r="H197" s="9" t="s">
        <v>626</v>
      </c>
      <c r="I197" s="9">
        <v>5.12</v>
      </c>
      <c r="J197" s="9" t="s">
        <v>129</v>
      </c>
      <c r="K197" s="9">
        <v>170</v>
      </c>
      <c r="L197" s="9">
        <v>98</v>
      </c>
      <c r="M197" s="9" t="s">
        <v>22</v>
      </c>
      <c r="N197" s="9">
        <v>17</v>
      </c>
      <c r="O197" s="9" t="s">
        <v>55</v>
      </c>
      <c r="P197" s="9" t="s">
        <v>24</v>
      </c>
      <c r="Q197" s="11" t="str">
        <f t="shared" si="3"/>
        <v>None</v>
      </c>
    </row>
    <row r="198" spans="1:17" x14ac:dyDescent="0.3">
      <c r="A198" s="8" t="s">
        <v>505</v>
      </c>
      <c r="B198" s="9" t="s">
        <v>375</v>
      </c>
      <c r="C198" s="9" t="s">
        <v>597</v>
      </c>
      <c r="D198" s="9">
        <v>20</v>
      </c>
      <c r="E198" s="9" t="s">
        <v>278</v>
      </c>
      <c r="F198" s="9" t="s">
        <v>279</v>
      </c>
      <c r="G198" s="10">
        <v>0.51736111111111116</v>
      </c>
      <c r="H198" s="9" t="s">
        <v>382</v>
      </c>
      <c r="I198" s="9">
        <v>6.47</v>
      </c>
      <c r="J198" s="9" t="s">
        <v>129</v>
      </c>
      <c r="K198" s="9">
        <v>305</v>
      </c>
      <c r="L198" s="9">
        <v>115</v>
      </c>
      <c r="M198" s="9" t="s">
        <v>22</v>
      </c>
      <c r="N198" s="9">
        <v>12</v>
      </c>
      <c r="O198" s="9" t="s">
        <v>23</v>
      </c>
      <c r="P198" s="9" t="s">
        <v>24</v>
      </c>
      <c r="Q198" s="11" t="str">
        <f t="shared" si="3"/>
        <v>Distance</v>
      </c>
    </row>
    <row r="199" spans="1:17" x14ac:dyDescent="0.3">
      <c r="A199" s="8" t="s">
        <v>507</v>
      </c>
      <c r="B199" s="9" t="s">
        <v>699</v>
      </c>
      <c r="C199" s="9" t="s">
        <v>594</v>
      </c>
      <c r="D199" s="9">
        <v>30</v>
      </c>
      <c r="E199" s="9" t="s">
        <v>113</v>
      </c>
      <c r="F199" s="9" t="s">
        <v>262</v>
      </c>
      <c r="G199" s="10">
        <v>0.61111111111111105</v>
      </c>
      <c r="H199" s="9" t="s">
        <v>206</v>
      </c>
      <c r="I199" s="9">
        <v>6.25</v>
      </c>
      <c r="J199" s="9" t="s">
        <v>40</v>
      </c>
      <c r="K199" s="9">
        <v>225</v>
      </c>
      <c r="L199" s="9">
        <v>116</v>
      </c>
      <c r="M199" s="9" t="s">
        <v>22</v>
      </c>
      <c r="N199" s="9">
        <v>18</v>
      </c>
      <c r="O199" s="9" t="s">
        <v>23</v>
      </c>
      <c r="P199" s="9" t="s">
        <v>24</v>
      </c>
      <c r="Q199" s="11" t="str">
        <f t="shared" si="3"/>
        <v>Restaurant Delay</v>
      </c>
    </row>
    <row r="200" spans="1:17" x14ac:dyDescent="0.3">
      <c r="A200" s="8" t="s">
        <v>510</v>
      </c>
      <c r="B200" s="9" t="s">
        <v>247</v>
      </c>
      <c r="C200" s="9" t="s">
        <v>597</v>
      </c>
      <c r="D200" s="9">
        <v>17</v>
      </c>
      <c r="E200" s="9" t="s">
        <v>37</v>
      </c>
      <c r="F200" s="9" t="s">
        <v>313</v>
      </c>
      <c r="G200" s="10">
        <v>0.72986111111111107</v>
      </c>
      <c r="H200" s="9" t="s">
        <v>596</v>
      </c>
      <c r="I200" s="9">
        <v>7.58</v>
      </c>
      <c r="J200" s="9" t="s">
        <v>99</v>
      </c>
      <c r="K200" s="9">
        <v>305</v>
      </c>
      <c r="L200" s="9">
        <v>125</v>
      </c>
      <c r="M200" s="9" t="s">
        <v>22</v>
      </c>
      <c r="N200" s="9">
        <v>18</v>
      </c>
      <c r="O200" s="9" t="s">
        <v>23</v>
      </c>
      <c r="P200" s="9" t="s">
        <v>24</v>
      </c>
      <c r="Q200" s="11" t="str">
        <f t="shared" si="3"/>
        <v>Distance</v>
      </c>
    </row>
    <row r="201" spans="1:17" x14ac:dyDescent="0.3">
      <c r="A201" s="8" t="s">
        <v>512</v>
      </c>
      <c r="B201" s="9" t="s">
        <v>101</v>
      </c>
      <c r="C201" s="9" t="s">
        <v>597</v>
      </c>
      <c r="D201" s="9">
        <v>13</v>
      </c>
      <c r="E201" s="9" t="s">
        <v>778</v>
      </c>
      <c r="F201" s="9" t="s">
        <v>179</v>
      </c>
      <c r="G201" s="10">
        <v>0.59930555555555554</v>
      </c>
      <c r="H201" s="9" t="s">
        <v>371</v>
      </c>
      <c r="I201" s="9">
        <v>3.66</v>
      </c>
      <c r="J201" s="9" t="s">
        <v>177</v>
      </c>
      <c r="K201" s="9">
        <v>226</v>
      </c>
      <c r="L201" s="9">
        <v>84</v>
      </c>
      <c r="M201" s="9" t="s">
        <v>22</v>
      </c>
      <c r="N201" s="9">
        <v>20</v>
      </c>
      <c r="O201" s="9" t="s">
        <v>55</v>
      </c>
      <c r="P201" s="9" t="s">
        <v>24</v>
      </c>
      <c r="Q201" s="11" t="str">
        <f t="shared" si="3"/>
        <v>None</v>
      </c>
    </row>
    <row r="202" spans="1:17" x14ac:dyDescent="0.3">
      <c r="A202" s="8" t="s">
        <v>513</v>
      </c>
      <c r="B202" s="9" t="s">
        <v>789</v>
      </c>
      <c r="C202" s="9" t="s">
        <v>597</v>
      </c>
      <c r="D202" s="9">
        <v>20</v>
      </c>
      <c r="E202" s="9" t="s">
        <v>751</v>
      </c>
      <c r="F202" s="9" t="s">
        <v>174</v>
      </c>
      <c r="G202" s="10">
        <v>0.43541666666666667</v>
      </c>
      <c r="H202" s="9" t="s">
        <v>165</v>
      </c>
      <c r="I202" s="9">
        <v>4.49</v>
      </c>
      <c r="J202" s="9" t="s">
        <v>21</v>
      </c>
      <c r="K202" s="9">
        <v>261</v>
      </c>
      <c r="L202" s="9">
        <v>97</v>
      </c>
      <c r="M202" s="9" t="s">
        <v>77</v>
      </c>
      <c r="N202" s="9">
        <v>14</v>
      </c>
      <c r="O202" s="9" t="s">
        <v>23</v>
      </c>
      <c r="P202" s="9" t="s">
        <v>78</v>
      </c>
      <c r="Q202" s="11" t="str">
        <f t="shared" si="3"/>
        <v>Restaurant Delay</v>
      </c>
    </row>
    <row r="203" spans="1:17" x14ac:dyDescent="0.3">
      <c r="A203" s="8" t="s">
        <v>514</v>
      </c>
      <c r="B203" s="9" t="s">
        <v>97</v>
      </c>
      <c r="C203" s="9" t="s">
        <v>597</v>
      </c>
      <c r="D203" s="9">
        <v>18</v>
      </c>
      <c r="E203" s="9" t="s">
        <v>196</v>
      </c>
      <c r="F203" s="9" t="s">
        <v>196</v>
      </c>
      <c r="G203" s="10">
        <v>0.67361111111111105</v>
      </c>
      <c r="H203" s="9" t="s">
        <v>486</v>
      </c>
      <c r="I203" s="9">
        <v>7.57</v>
      </c>
      <c r="J203" s="9" t="s">
        <v>21</v>
      </c>
      <c r="K203" s="9">
        <v>224</v>
      </c>
      <c r="L203" s="9">
        <v>122</v>
      </c>
      <c r="M203" s="9" t="s">
        <v>22</v>
      </c>
      <c r="N203" s="9">
        <v>18</v>
      </c>
      <c r="O203" s="9" t="s">
        <v>55</v>
      </c>
      <c r="P203" s="9" t="s">
        <v>24</v>
      </c>
      <c r="Q203" s="11" t="str">
        <f t="shared" si="3"/>
        <v>Distance</v>
      </c>
    </row>
    <row r="204" spans="1:17" x14ac:dyDescent="0.3">
      <c r="A204" s="8" t="s">
        <v>515</v>
      </c>
      <c r="B204" s="9" t="s">
        <v>291</v>
      </c>
      <c r="C204" s="9" t="s">
        <v>597</v>
      </c>
      <c r="D204" s="9">
        <v>14</v>
      </c>
      <c r="E204" s="9" t="s">
        <v>403</v>
      </c>
      <c r="F204" s="9" t="s">
        <v>649</v>
      </c>
      <c r="G204" s="10">
        <v>0.625</v>
      </c>
      <c r="H204" s="9" t="s">
        <v>96</v>
      </c>
      <c r="I204" s="9">
        <v>4.4400000000000004</v>
      </c>
      <c r="J204" s="9" t="s">
        <v>54</v>
      </c>
      <c r="K204" s="9">
        <v>341</v>
      </c>
      <c r="L204" s="9">
        <v>94</v>
      </c>
      <c r="M204" s="9" t="s">
        <v>22</v>
      </c>
      <c r="N204" s="9">
        <v>15</v>
      </c>
      <c r="O204" s="9" t="s">
        <v>55</v>
      </c>
      <c r="P204" s="9" t="s">
        <v>24</v>
      </c>
      <c r="Q204" s="11" t="str">
        <f t="shared" si="3"/>
        <v>None</v>
      </c>
    </row>
    <row r="205" spans="1:17" x14ac:dyDescent="0.3">
      <c r="A205" s="8" t="s">
        <v>516</v>
      </c>
      <c r="B205" s="9" t="s">
        <v>37</v>
      </c>
      <c r="C205" s="9" t="s">
        <v>597</v>
      </c>
      <c r="D205" s="9">
        <v>13</v>
      </c>
      <c r="E205" s="9" t="s">
        <v>499</v>
      </c>
      <c r="F205" s="9" t="s">
        <v>659</v>
      </c>
      <c r="G205" s="10">
        <v>0.73888888888888893</v>
      </c>
      <c r="H205" s="9" t="s">
        <v>612</v>
      </c>
      <c r="I205" s="9">
        <v>5.18</v>
      </c>
      <c r="J205" s="9" t="s">
        <v>99</v>
      </c>
      <c r="K205" s="9">
        <v>386</v>
      </c>
      <c r="L205" s="9">
        <v>101</v>
      </c>
      <c r="M205" s="9" t="s">
        <v>22</v>
      </c>
      <c r="N205" s="9">
        <v>12</v>
      </c>
      <c r="O205" s="9" t="s">
        <v>23</v>
      </c>
      <c r="P205" s="9" t="s">
        <v>24</v>
      </c>
      <c r="Q205" s="11" t="str">
        <f t="shared" si="3"/>
        <v>None</v>
      </c>
    </row>
    <row r="206" spans="1:17" x14ac:dyDescent="0.3">
      <c r="A206" s="8" t="s">
        <v>517</v>
      </c>
      <c r="B206" s="9" t="s">
        <v>525</v>
      </c>
      <c r="C206" s="9" t="s">
        <v>597</v>
      </c>
      <c r="D206" s="9">
        <v>20</v>
      </c>
      <c r="E206" s="9" t="s">
        <v>790</v>
      </c>
      <c r="F206" s="9" t="s">
        <v>790</v>
      </c>
      <c r="G206" s="10">
        <v>0.48124999999999996</v>
      </c>
      <c r="H206" s="9" t="s">
        <v>194</v>
      </c>
      <c r="I206" s="9">
        <v>6.12</v>
      </c>
      <c r="J206" s="9" t="s">
        <v>21</v>
      </c>
      <c r="K206" s="9">
        <v>158</v>
      </c>
      <c r="L206" s="9">
        <v>114</v>
      </c>
      <c r="M206" s="9" t="s">
        <v>77</v>
      </c>
      <c r="N206" s="9">
        <v>12</v>
      </c>
      <c r="O206" s="9" t="s">
        <v>23</v>
      </c>
      <c r="P206" s="9" t="s">
        <v>78</v>
      </c>
      <c r="Q206" s="11" t="str">
        <f t="shared" si="3"/>
        <v>Restaurant Delay</v>
      </c>
    </row>
    <row r="207" spans="1:17" x14ac:dyDescent="0.3">
      <c r="A207" s="8" t="s">
        <v>519</v>
      </c>
      <c r="B207" s="9" t="s">
        <v>784</v>
      </c>
      <c r="C207" s="9" t="s">
        <v>597</v>
      </c>
      <c r="D207" s="9">
        <v>10</v>
      </c>
      <c r="E207" s="9" t="s">
        <v>694</v>
      </c>
      <c r="F207" s="9" t="s">
        <v>625</v>
      </c>
      <c r="G207" s="10">
        <v>0.67013888888888884</v>
      </c>
      <c r="H207" s="9" t="s">
        <v>653</v>
      </c>
      <c r="I207" s="9">
        <v>4.91</v>
      </c>
      <c r="J207" s="9" t="s">
        <v>69</v>
      </c>
      <c r="K207" s="9">
        <v>225</v>
      </c>
      <c r="L207" s="9">
        <v>94</v>
      </c>
      <c r="M207" s="9" t="s">
        <v>22</v>
      </c>
      <c r="N207" s="9">
        <v>19</v>
      </c>
      <c r="O207" s="9" t="s">
        <v>55</v>
      </c>
      <c r="P207" s="9" t="s">
        <v>24</v>
      </c>
      <c r="Q207" s="11" t="str">
        <f t="shared" si="3"/>
        <v>None</v>
      </c>
    </row>
    <row r="208" spans="1:17" x14ac:dyDescent="0.3">
      <c r="A208" s="8" t="s">
        <v>520</v>
      </c>
      <c r="B208" s="9" t="s">
        <v>158</v>
      </c>
      <c r="C208" s="9" t="s">
        <v>597</v>
      </c>
      <c r="D208" s="9">
        <v>13</v>
      </c>
      <c r="E208" s="9" t="s">
        <v>311</v>
      </c>
      <c r="F208" s="9" t="s">
        <v>684</v>
      </c>
      <c r="G208" s="10">
        <v>0.8256944444444444</v>
      </c>
      <c r="H208" s="9" t="s">
        <v>141</v>
      </c>
      <c r="I208" s="9">
        <v>3.74</v>
      </c>
      <c r="J208" s="9" t="s">
        <v>76</v>
      </c>
      <c r="K208" s="9">
        <v>292</v>
      </c>
      <c r="L208" s="9">
        <v>95</v>
      </c>
      <c r="M208" s="9" t="s">
        <v>22</v>
      </c>
      <c r="N208" s="9">
        <v>9</v>
      </c>
      <c r="O208" s="9" t="s">
        <v>34</v>
      </c>
      <c r="P208" s="9" t="s">
        <v>24</v>
      </c>
      <c r="Q208" s="11" t="str">
        <f t="shared" si="3"/>
        <v>Traffic</v>
      </c>
    </row>
    <row r="209" spans="1:17" x14ac:dyDescent="0.3">
      <c r="A209" s="8" t="s">
        <v>522</v>
      </c>
      <c r="B209" s="9" t="s">
        <v>690</v>
      </c>
      <c r="C209" s="9" t="s">
        <v>597</v>
      </c>
      <c r="D209" s="9">
        <v>16</v>
      </c>
      <c r="E209" s="9" t="s">
        <v>346</v>
      </c>
      <c r="F209" s="9" t="s">
        <v>346</v>
      </c>
      <c r="G209" s="10">
        <v>0.45347222222222222</v>
      </c>
      <c r="H209" s="9" t="s">
        <v>332</v>
      </c>
      <c r="I209" s="9">
        <v>4.9400000000000004</v>
      </c>
      <c r="J209" s="9" t="s">
        <v>160</v>
      </c>
      <c r="K209" s="9">
        <v>205</v>
      </c>
      <c r="L209" s="9">
        <v>99</v>
      </c>
      <c r="M209" s="9" t="s">
        <v>22</v>
      </c>
      <c r="N209" s="9">
        <v>12</v>
      </c>
      <c r="O209" s="9" t="s">
        <v>23</v>
      </c>
      <c r="P209" s="9" t="s">
        <v>24</v>
      </c>
      <c r="Q209" s="11" t="str">
        <f t="shared" si="3"/>
        <v>None</v>
      </c>
    </row>
    <row r="210" spans="1:17" x14ac:dyDescent="0.3">
      <c r="A210" s="8" t="s">
        <v>524</v>
      </c>
      <c r="B210" s="9" t="s">
        <v>271</v>
      </c>
      <c r="C210" s="9" t="s">
        <v>597</v>
      </c>
      <c r="D210" s="9">
        <v>11</v>
      </c>
      <c r="E210" s="9" t="s">
        <v>618</v>
      </c>
      <c r="F210" s="9" t="s">
        <v>621</v>
      </c>
      <c r="G210" s="10">
        <v>0.55208333333333326</v>
      </c>
      <c r="H210" s="9" t="s">
        <v>711</v>
      </c>
      <c r="I210" s="9">
        <v>7.15</v>
      </c>
      <c r="J210" s="9" t="s">
        <v>160</v>
      </c>
      <c r="K210" s="9">
        <v>188</v>
      </c>
      <c r="L210" s="9">
        <v>123</v>
      </c>
      <c r="M210" s="9" t="s">
        <v>77</v>
      </c>
      <c r="N210" s="9">
        <v>12</v>
      </c>
      <c r="O210" s="9" t="s">
        <v>23</v>
      </c>
      <c r="P210" s="9" t="s">
        <v>78</v>
      </c>
      <c r="Q210" s="11" t="str">
        <f t="shared" si="3"/>
        <v>Restaurant Delay</v>
      </c>
    </row>
    <row r="211" spans="1:17" x14ac:dyDescent="0.3">
      <c r="A211" s="8" t="s">
        <v>527</v>
      </c>
      <c r="B211" s="9" t="s">
        <v>598</v>
      </c>
      <c r="C211" s="9" t="s">
        <v>597</v>
      </c>
      <c r="D211" s="9">
        <v>15</v>
      </c>
      <c r="E211" s="9" t="s">
        <v>165</v>
      </c>
      <c r="F211" s="9" t="s">
        <v>650</v>
      </c>
      <c r="G211" s="10">
        <v>0.46041666666666664</v>
      </c>
      <c r="H211" s="9" t="s">
        <v>526</v>
      </c>
      <c r="I211" s="9">
        <v>1.62</v>
      </c>
      <c r="J211" s="9" t="s">
        <v>33</v>
      </c>
      <c r="K211" s="9">
        <v>320</v>
      </c>
      <c r="L211" s="9">
        <v>70</v>
      </c>
      <c r="M211" s="9" t="s">
        <v>22</v>
      </c>
      <c r="N211" s="9">
        <v>12</v>
      </c>
      <c r="O211" s="9" t="s">
        <v>23</v>
      </c>
      <c r="P211" s="9" t="s">
        <v>24</v>
      </c>
      <c r="Q211" s="11" t="str">
        <f t="shared" si="3"/>
        <v>None</v>
      </c>
    </row>
    <row r="212" spans="1:17" x14ac:dyDescent="0.3">
      <c r="A212" s="8" t="s">
        <v>528</v>
      </c>
      <c r="B212" s="9" t="s">
        <v>375</v>
      </c>
      <c r="C212" s="9" t="s">
        <v>594</v>
      </c>
      <c r="D212" s="9">
        <v>26</v>
      </c>
      <c r="E212" s="9" t="s">
        <v>683</v>
      </c>
      <c r="F212" s="9" t="s">
        <v>732</v>
      </c>
      <c r="G212" s="10">
        <v>0.52847222222222223</v>
      </c>
      <c r="H212" s="9" t="s">
        <v>136</v>
      </c>
      <c r="I212" s="9">
        <v>1.81</v>
      </c>
      <c r="J212" s="9" t="s">
        <v>54</v>
      </c>
      <c r="K212" s="9">
        <v>223</v>
      </c>
      <c r="L212" s="9">
        <v>73</v>
      </c>
      <c r="M212" s="9" t="s">
        <v>22</v>
      </c>
      <c r="N212" s="9">
        <v>17</v>
      </c>
      <c r="O212" s="9" t="s">
        <v>23</v>
      </c>
      <c r="P212" s="9" t="s">
        <v>24</v>
      </c>
      <c r="Q212" s="11" t="str">
        <f t="shared" si="3"/>
        <v>Restaurant Delay</v>
      </c>
    </row>
    <row r="213" spans="1:17" x14ac:dyDescent="0.3">
      <c r="A213" s="8" t="s">
        <v>530</v>
      </c>
      <c r="B213" s="9" t="s">
        <v>492</v>
      </c>
      <c r="C213" s="9" t="s">
        <v>597</v>
      </c>
      <c r="D213" s="9">
        <v>13</v>
      </c>
      <c r="E213" s="9" t="s">
        <v>108</v>
      </c>
      <c r="F213" s="9" t="s">
        <v>521</v>
      </c>
      <c r="G213" s="10">
        <v>0.80138888888888882</v>
      </c>
      <c r="H213" s="9" t="s">
        <v>445</v>
      </c>
      <c r="I213" s="9">
        <v>6.07</v>
      </c>
      <c r="J213" s="9" t="s">
        <v>76</v>
      </c>
      <c r="K213" s="9">
        <v>241</v>
      </c>
      <c r="L213" s="9">
        <v>110</v>
      </c>
      <c r="M213" s="9" t="s">
        <v>22</v>
      </c>
      <c r="N213" s="9">
        <v>17</v>
      </c>
      <c r="O213" s="9" t="s">
        <v>23</v>
      </c>
      <c r="P213" s="9" t="s">
        <v>24</v>
      </c>
      <c r="Q213" s="11" t="str">
        <f t="shared" si="3"/>
        <v>Distance</v>
      </c>
    </row>
    <row r="214" spans="1:17" x14ac:dyDescent="0.3">
      <c r="A214" s="8" t="s">
        <v>532</v>
      </c>
      <c r="B214" s="9" t="s">
        <v>653</v>
      </c>
      <c r="C214" s="9" t="s">
        <v>597</v>
      </c>
      <c r="D214" s="9">
        <v>16</v>
      </c>
      <c r="E214" s="9" t="s">
        <v>545</v>
      </c>
      <c r="F214" s="9" t="s">
        <v>644</v>
      </c>
      <c r="G214" s="10">
        <v>0.70347222222222217</v>
      </c>
      <c r="H214" s="9" t="s">
        <v>215</v>
      </c>
      <c r="I214" s="9">
        <v>7.52</v>
      </c>
      <c r="J214" s="9" t="s">
        <v>33</v>
      </c>
      <c r="K214" s="9">
        <v>383</v>
      </c>
      <c r="L214" s="9">
        <v>123</v>
      </c>
      <c r="M214" s="9" t="s">
        <v>22</v>
      </c>
      <c r="N214" s="9">
        <v>15</v>
      </c>
      <c r="O214" s="9" t="s">
        <v>55</v>
      </c>
      <c r="P214" s="9" t="s">
        <v>24</v>
      </c>
      <c r="Q214" s="11" t="str">
        <f t="shared" si="3"/>
        <v>Distance</v>
      </c>
    </row>
    <row r="215" spans="1:17" x14ac:dyDescent="0.3">
      <c r="A215" s="8" t="s">
        <v>533</v>
      </c>
      <c r="B215" s="9" t="s">
        <v>43</v>
      </c>
      <c r="C215" s="9" t="s">
        <v>597</v>
      </c>
      <c r="D215" s="9">
        <v>16</v>
      </c>
      <c r="E215" s="9" t="s">
        <v>193</v>
      </c>
      <c r="F215" s="9" t="s">
        <v>194</v>
      </c>
      <c r="G215" s="10">
        <v>0.51249999999999996</v>
      </c>
      <c r="H215" s="9" t="s">
        <v>745</v>
      </c>
      <c r="I215" s="9">
        <v>3.13</v>
      </c>
      <c r="J215" s="9" t="s">
        <v>126</v>
      </c>
      <c r="K215" s="9">
        <v>244</v>
      </c>
      <c r="L215" s="9">
        <v>85</v>
      </c>
      <c r="M215" s="9" t="s">
        <v>22</v>
      </c>
      <c r="N215" s="9">
        <v>14</v>
      </c>
      <c r="O215" s="9" t="s">
        <v>23</v>
      </c>
      <c r="P215" s="9" t="s">
        <v>24</v>
      </c>
      <c r="Q215" s="11" t="str">
        <f t="shared" si="3"/>
        <v>None</v>
      </c>
    </row>
    <row r="216" spans="1:17" x14ac:dyDescent="0.3">
      <c r="A216" s="8" t="s">
        <v>534</v>
      </c>
      <c r="B216" s="9" t="s">
        <v>236</v>
      </c>
      <c r="C216" s="9" t="s">
        <v>597</v>
      </c>
      <c r="D216" s="9">
        <v>15</v>
      </c>
      <c r="E216" s="9" t="s">
        <v>228</v>
      </c>
      <c r="F216" s="9" t="s">
        <v>229</v>
      </c>
      <c r="G216" s="10">
        <v>0.75416666666666665</v>
      </c>
      <c r="H216" s="9" t="s">
        <v>354</v>
      </c>
      <c r="I216" s="9">
        <v>4.58</v>
      </c>
      <c r="J216" s="9" t="s">
        <v>211</v>
      </c>
      <c r="K216" s="9">
        <v>193</v>
      </c>
      <c r="L216" s="9">
        <v>98</v>
      </c>
      <c r="M216" s="9" t="s">
        <v>22</v>
      </c>
      <c r="N216" s="9">
        <v>15</v>
      </c>
      <c r="O216" s="9" t="s">
        <v>23</v>
      </c>
      <c r="P216" s="9" t="s">
        <v>24</v>
      </c>
      <c r="Q216" s="11" t="str">
        <f t="shared" si="3"/>
        <v>None</v>
      </c>
    </row>
    <row r="217" spans="1:17" x14ac:dyDescent="0.3">
      <c r="A217" s="8" t="s">
        <v>537</v>
      </c>
      <c r="B217" s="9" t="s">
        <v>417</v>
      </c>
      <c r="C217" s="9" t="s">
        <v>594</v>
      </c>
      <c r="D217" s="9">
        <v>29</v>
      </c>
      <c r="E217" s="9" t="s">
        <v>557</v>
      </c>
      <c r="F217" s="9" t="s">
        <v>604</v>
      </c>
      <c r="G217" s="10">
        <v>0.84861111111111109</v>
      </c>
      <c r="H217" s="9" t="s">
        <v>791</v>
      </c>
      <c r="I217" s="9">
        <v>5.51</v>
      </c>
      <c r="J217" s="9" t="s">
        <v>90</v>
      </c>
      <c r="K217" s="9">
        <v>170</v>
      </c>
      <c r="L217" s="9">
        <v>117</v>
      </c>
      <c r="M217" s="9" t="s">
        <v>22</v>
      </c>
      <c r="N217" s="9">
        <v>9</v>
      </c>
      <c r="O217" s="9" t="s">
        <v>34</v>
      </c>
      <c r="P217" s="9" t="s">
        <v>24</v>
      </c>
      <c r="Q217" s="11" t="str">
        <f t="shared" si="3"/>
        <v>Traffic</v>
      </c>
    </row>
    <row r="218" spans="1:17" x14ac:dyDescent="0.3">
      <c r="A218" s="8" t="s">
        <v>539</v>
      </c>
      <c r="B218" s="9" t="s">
        <v>778</v>
      </c>
      <c r="C218" s="9" t="s">
        <v>597</v>
      </c>
      <c r="D218" s="9">
        <v>20</v>
      </c>
      <c r="E218" s="9" t="s">
        <v>121</v>
      </c>
      <c r="F218" s="9" t="s">
        <v>291</v>
      </c>
      <c r="G218" s="10">
        <v>0.61388888888888882</v>
      </c>
      <c r="H218" s="9" t="s">
        <v>287</v>
      </c>
      <c r="I218" s="9">
        <v>2.94</v>
      </c>
      <c r="J218" s="9" t="s">
        <v>65</v>
      </c>
      <c r="K218" s="9">
        <v>259</v>
      </c>
      <c r="L218" s="9">
        <v>75</v>
      </c>
      <c r="M218" s="9" t="s">
        <v>22</v>
      </c>
      <c r="N218" s="9">
        <v>17</v>
      </c>
      <c r="O218" s="9" t="s">
        <v>55</v>
      </c>
      <c r="P218" s="9" t="s">
        <v>24</v>
      </c>
      <c r="Q218" s="11" t="str">
        <f t="shared" si="3"/>
        <v>None</v>
      </c>
    </row>
    <row r="219" spans="1:17" x14ac:dyDescent="0.3">
      <c r="A219" s="8" t="s">
        <v>541</v>
      </c>
      <c r="B219" s="9" t="s">
        <v>158</v>
      </c>
      <c r="C219" s="9" t="s">
        <v>597</v>
      </c>
      <c r="D219" s="9">
        <v>17</v>
      </c>
      <c r="E219" s="9" t="s">
        <v>417</v>
      </c>
      <c r="F219" s="9" t="s">
        <v>773</v>
      </c>
      <c r="G219" s="10">
        <v>0.83124999999999993</v>
      </c>
      <c r="H219" s="9" t="s">
        <v>792</v>
      </c>
      <c r="I219" s="9">
        <v>5.79</v>
      </c>
      <c r="J219" s="9" t="s">
        <v>21</v>
      </c>
      <c r="K219" s="9">
        <v>272</v>
      </c>
      <c r="L219" s="9">
        <v>114</v>
      </c>
      <c r="M219" s="9" t="s">
        <v>22</v>
      </c>
      <c r="N219" s="9">
        <v>8</v>
      </c>
      <c r="O219" s="9" t="s">
        <v>34</v>
      </c>
      <c r="P219" s="9" t="s">
        <v>24</v>
      </c>
      <c r="Q219" s="11" t="str">
        <f t="shared" si="3"/>
        <v>Traffic</v>
      </c>
    </row>
    <row r="220" spans="1:17" x14ac:dyDescent="0.3">
      <c r="A220" s="8" t="s">
        <v>542</v>
      </c>
      <c r="B220" s="9" t="s">
        <v>774</v>
      </c>
      <c r="C220" s="9" t="s">
        <v>597</v>
      </c>
      <c r="D220" s="9">
        <v>13</v>
      </c>
      <c r="E220" s="9" t="s">
        <v>691</v>
      </c>
      <c r="F220" s="9" t="s">
        <v>780</v>
      </c>
      <c r="G220" s="10">
        <v>0.45347222222222222</v>
      </c>
      <c r="H220" s="9" t="s">
        <v>59</v>
      </c>
      <c r="I220" s="9">
        <v>6.15</v>
      </c>
      <c r="J220" s="9" t="s">
        <v>177</v>
      </c>
      <c r="K220" s="9">
        <v>372</v>
      </c>
      <c r="L220" s="9">
        <v>113</v>
      </c>
      <c r="M220" s="9" t="s">
        <v>22</v>
      </c>
      <c r="N220" s="9">
        <v>17</v>
      </c>
      <c r="O220" s="9" t="s">
        <v>23</v>
      </c>
      <c r="P220" s="9" t="s">
        <v>24</v>
      </c>
      <c r="Q220" s="11" t="str">
        <f t="shared" si="3"/>
        <v>Distance</v>
      </c>
    </row>
    <row r="221" spans="1:17" x14ac:dyDescent="0.3">
      <c r="A221" s="8" t="s">
        <v>544</v>
      </c>
      <c r="B221" s="9" t="s">
        <v>648</v>
      </c>
      <c r="C221" s="9" t="s">
        <v>597</v>
      </c>
      <c r="D221" s="9">
        <v>20</v>
      </c>
      <c r="E221" s="9" t="s">
        <v>152</v>
      </c>
      <c r="F221" s="9" t="s">
        <v>730</v>
      </c>
      <c r="G221" s="10">
        <v>0.79305555555555551</v>
      </c>
      <c r="H221" s="9" t="s">
        <v>110</v>
      </c>
      <c r="I221" s="9">
        <v>5.58</v>
      </c>
      <c r="J221" s="9" t="s">
        <v>54</v>
      </c>
      <c r="K221" s="9">
        <v>158</v>
      </c>
      <c r="L221" s="9">
        <v>107</v>
      </c>
      <c r="M221" s="9" t="s">
        <v>22</v>
      </c>
      <c r="N221" s="9">
        <v>14</v>
      </c>
      <c r="O221" s="9" t="s">
        <v>23</v>
      </c>
      <c r="P221" s="9" t="s">
        <v>24</v>
      </c>
      <c r="Q221" s="11" t="str">
        <f t="shared" si="3"/>
        <v>None</v>
      </c>
    </row>
    <row r="222" spans="1:17" x14ac:dyDescent="0.3">
      <c r="A222" s="8" t="s">
        <v>546</v>
      </c>
      <c r="B222" s="9" t="s">
        <v>93</v>
      </c>
      <c r="C222" s="9" t="s">
        <v>594</v>
      </c>
      <c r="D222" s="9">
        <v>34</v>
      </c>
      <c r="E222" s="9" t="s">
        <v>300</v>
      </c>
      <c r="F222" s="9" t="s">
        <v>244</v>
      </c>
      <c r="G222" s="10">
        <v>0.59513888888888888</v>
      </c>
      <c r="H222" s="9" t="s">
        <v>631</v>
      </c>
      <c r="I222" s="9">
        <v>3.82</v>
      </c>
      <c r="J222" s="9" t="s">
        <v>211</v>
      </c>
      <c r="K222" s="9">
        <v>209</v>
      </c>
      <c r="L222" s="9">
        <v>92</v>
      </c>
      <c r="M222" s="9" t="s">
        <v>22</v>
      </c>
      <c r="N222" s="9">
        <v>14</v>
      </c>
      <c r="O222" s="9" t="s">
        <v>23</v>
      </c>
      <c r="P222" s="9" t="s">
        <v>24</v>
      </c>
      <c r="Q222" s="11" t="str">
        <f t="shared" si="3"/>
        <v>Restaurant Delay</v>
      </c>
    </row>
    <row r="223" spans="1:17" x14ac:dyDescent="0.3">
      <c r="A223" s="8" t="s">
        <v>547</v>
      </c>
      <c r="B223" s="9" t="s">
        <v>418</v>
      </c>
      <c r="C223" s="9" t="s">
        <v>594</v>
      </c>
      <c r="D223" s="9">
        <v>28</v>
      </c>
      <c r="E223" s="9" t="s">
        <v>335</v>
      </c>
      <c r="F223" s="9" t="s">
        <v>432</v>
      </c>
      <c r="G223" s="10">
        <v>0.85277777777777786</v>
      </c>
      <c r="H223" s="9" t="s">
        <v>635</v>
      </c>
      <c r="I223" s="9">
        <v>3.58</v>
      </c>
      <c r="J223" s="9" t="s">
        <v>62</v>
      </c>
      <c r="K223" s="9">
        <v>208</v>
      </c>
      <c r="L223" s="9">
        <v>93</v>
      </c>
      <c r="M223" s="9" t="s">
        <v>22</v>
      </c>
      <c r="N223" s="9">
        <v>9</v>
      </c>
      <c r="O223" s="9" t="s">
        <v>34</v>
      </c>
      <c r="P223" s="9" t="s">
        <v>24</v>
      </c>
      <c r="Q223" s="11" t="str">
        <f t="shared" si="3"/>
        <v>Traffic</v>
      </c>
    </row>
    <row r="224" spans="1:17" x14ac:dyDescent="0.3">
      <c r="A224" s="8" t="s">
        <v>549</v>
      </c>
      <c r="B224" s="9" t="s">
        <v>629</v>
      </c>
      <c r="C224" s="9" t="s">
        <v>597</v>
      </c>
      <c r="D224" s="9">
        <v>18</v>
      </c>
      <c r="E224" s="9" t="s">
        <v>156</v>
      </c>
      <c r="F224" s="9" t="s">
        <v>603</v>
      </c>
      <c r="G224" s="10">
        <v>0.65555555555555556</v>
      </c>
      <c r="H224" s="9" t="s">
        <v>775</v>
      </c>
      <c r="I224" s="9">
        <v>7.32</v>
      </c>
      <c r="J224" s="9" t="s">
        <v>69</v>
      </c>
      <c r="K224" s="9">
        <v>262</v>
      </c>
      <c r="L224" s="9">
        <v>122</v>
      </c>
      <c r="M224" s="9" t="s">
        <v>22</v>
      </c>
      <c r="N224" s="9">
        <v>19</v>
      </c>
      <c r="O224" s="9" t="s">
        <v>55</v>
      </c>
      <c r="P224" s="9" t="s">
        <v>24</v>
      </c>
      <c r="Q224" s="11" t="str">
        <f t="shared" si="3"/>
        <v>Distance</v>
      </c>
    </row>
    <row r="225" spans="1:17" x14ac:dyDescent="0.3">
      <c r="A225" s="8" t="s">
        <v>550</v>
      </c>
      <c r="B225" s="9" t="s">
        <v>87</v>
      </c>
      <c r="C225" s="9" t="s">
        <v>597</v>
      </c>
      <c r="D225" s="9">
        <v>18</v>
      </c>
      <c r="E225" s="9" t="s">
        <v>736</v>
      </c>
      <c r="F225" s="9" t="s">
        <v>736</v>
      </c>
      <c r="G225" s="10">
        <v>0.79722222222222228</v>
      </c>
      <c r="H225" s="9" t="s">
        <v>416</v>
      </c>
      <c r="I225" s="9">
        <v>2.37</v>
      </c>
      <c r="J225" s="9" t="s">
        <v>65</v>
      </c>
      <c r="K225" s="9">
        <v>208</v>
      </c>
      <c r="L225" s="9">
        <v>75</v>
      </c>
      <c r="M225" s="9" t="s">
        <v>22</v>
      </c>
      <c r="N225" s="9">
        <v>18</v>
      </c>
      <c r="O225" s="9" t="s">
        <v>23</v>
      </c>
      <c r="P225" s="9" t="s">
        <v>24</v>
      </c>
      <c r="Q225" s="11" t="str">
        <f t="shared" si="3"/>
        <v>None</v>
      </c>
    </row>
    <row r="226" spans="1:17" x14ac:dyDescent="0.3">
      <c r="A226" s="8" t="s">
        <v>551</v>
      </c>
      <c r="B226" s="9" t="s">
        <v>270</v>
      </c>
      <c r="C226" s="9" t="s">
        <v>597</v>
      </c>
      <c r="D226" s="9">
        <v>10</v>
      </c>
      <c r="E226" s="9" t="s">
        <v>379</v>
      </c>
      <c r="F226" s="9" t="s">
        <v>379</v>
      </c>
      <c r="G226" s="10">
        <v>0.52222222222222225</v>
      </c>
      <c r="H226" s="9" t="s">
        <v>75</v>
      </c>
      <c r="I226" s="9">
        <v>3.54</v>
      </c>
      <c r="J226" s="9" t="s">
        <v>90</v>
      </c>
      <c r="K226" s="9">
        <v>171</v>
      </c>
      <c r="L226" s="9">
        <v>88</v>
      </c>
      <c r="M226" s="9" t="s">
        <v>22</v>
      </c>
      <c r="N226" s="9">
        <v>13</v>
      </c>
      <c r="O226" s="9" t="s">
        <v>23</v>
      </c>
      <c r="P226" s="9" t="s">
        <v>24</v>
      </c>
      <c r="Q226" s="11" t="str">
        <f t="shared" si="3"/>
        <v>None</v>
      </c>
    </row>
    <row r="227" spans="1:17" x14ac:dyDescent="0.3">
      <c r="A227" s="8" t="s">
        <v>552</v>
      </c>
      <c r="B227" s="9" t="s">
        <v>793</v>
      </c>
      <c r="C227" s="9" t="s">
        <v>597</v>
      </c>
      <c r="D227" s="9">
        <v>13</v>
      </c>
      <c r="E227" s="9" t="s">
        <v>244</v>
      </c>
      <c r="F227" s="9" t="s">
        <v>120</v>
      </c>
      <c r="G227" s="10">
        <v>0.59930555555555554</v>
      </c>
      <c r="H227" s="9" t="s">
        <v>384</v>
      </c>
      <c r="I227" s="9">
        <v>5.51</v>
      </c>
      <c r="J227" s="9" t="s">
        <v>69</v>
      </c>
      <c r="K227" s="9">
        <v>192</v>
      </c>
      <c r="L227" s="9">
        <v>103</v>
      </c>
      <c r="M227" s="9" t="s">
        <v>22</v>
      </c>
      <c r="N227" s="9">
        <v>15</v>
      </c>
      <c r="O227" s="9" t="s">
        <v>55</v>
      </c>
      <c r="P227" s="9" t="s">
        <v>24</v>
      </c>
      <c r="Q227" s="11" t="str">
        <f t="shared" si="3"/>
        <v>None</v>
      </c>
    </row>
    <row r="228" spans="1:17" x14ac:dyDescent="0.3">
      <c r="A228" s="8" t="s">
        <v>553</v>
      </c>
      <c r="B228" s="9" t="s">
        <v>764</v>
      </c>
      <c r="C228" s="9" t="s">
        <v>597</v>
      </c>
      <c r="D228" s="9">
        <v>17</v>
      </c>
      <c r="E228" s="9" t="s">
        <v>774</v>
      </c>
      <c r="F228" s="9" t="s">
        <v>331</v>
      </c>
      <c r="G228" s="10">
        <v>0.44513888888888892</v>
      </c>
      <c r="H228" s="9" t="s">
        <v>257</v>
      </c>
      <c r="I228" s="9">
        <v>7.31</v>
      </c>
      <c r="J228" s="9" t="s">
        <v>65</v>
      </c>
      <c r="K228" s="9">
        <v>239</v>
      </c>
      <c r="L228" s="9">
        <v>123</v>
      </c>
      <c r="M228" s="9" t="s">
        <v>22</v>
      </c>
      <c r="N228" s="9">
        <v>16</v>
      </c>
      <c r="O228" s="9" t="s">
        <v>23</v>
      </c>
      <c r="P228" s="9" t="s">
        <v>24</v>
      </c>
      <c r="Q228" s="11" t="str">
        <f t="shared" si="3"/>
        <v>Distance</v>
      </c>
    </row>
    <row r="229" spans="1:17" x14ac:dyDescent="0.3">
      <c r="A229" s="8" t="s">
        <v>554</v>
      </c>
      <c r="B229" s="9" t="s">
        <v>596</v>
      </c>
      <c r="C229" s="9" t="s">
        <v>594</v>
      </c>
      <c r="D229" s="9">
        <v>35</v>
      </c>
      <c r="E229" s="9" t="s">
        <v>782</v>
      </c>
      <c r="F229" s="9" t="s">
        <v>687</v>
      </c>
      <c r="G229" s="10">
        <v>0.79513888888888884</v>
      </c>
      <c r="H229" s="9" t="s">
        <v>150</v>
      </c>
      <c r="I229" s="9">
        <v>7.53</v>
      </c>
      <c r="J229" s="9" t="s">
        <v>129</v>
      </c>
      <c r="K229" s="9">
        <v>304</v>
      </c>
      <c r="L229" s="9">
        <v>130</v>
      </c>
      <c r="M229" s="9" t="s">
        <v>22</v>
      </c>
      <c r="N229" s="9">
        <v>17</v>
      </c>
      <c r="O229" s="9" t="s">
        <v>23</v>
      </c>
      <c r="P229" s="9" t="s">
        <v>24</v>
      </c>
      <c r="Q229" s="11" t="str">
        <f t="shared" si="3"/>
        <v>Restaurant Delay</v>
      </c>
    </row>
    <row r="230" spans="1:17" x14ac:dyDescent="0.3">
      <c r="A230" s="8" t="s">
        <v>555</v>
      </c>
      <c r="B230" s="9" t="s">
        <v>493</v>
      </c>
      <c r="C230" s="9" t="s">
        <v>594</v>
      </c>
      <c r="D230" s="9">
        <v>35</v>
      </c>
      <c r="E230" s="9" t="s">
        <v>754</v>
      </c>
      <c r="F230" s="9" t="s">
        <v>638</v>
      </c>
      <c r="G230" s="10">
        <v>0.86041666666666661</v>
      </c>
      <c r="H230" s="9" t="s">
        <v>794</v>
      </c>
      <c r="I230" s="9">
        <v>2.83</v>
      </c>
      <c r="J230" s="9" t="s">
        <v>28</v>
      </c>
      <c r="K230" s="9">
        <v>232</v>
      </c>
      <c r="L230" s="9">
        <v>84</v>
      </c>
      <c r="M230" s="9" t="s">
        <v>22</v>
      </c>
      <c r="N230" s="9">
        <v>11</v>
      </c>
      <c r="O230" s="9" t="s">
        <v>34</v>
      </c>
      <c r="P230" s="9" t="s">
        <v>24</v>
      </c>
      <c r="Q230" s="11" t="str">
        <f t="shared" si="3"/>
        <v>Traffic</v>
      </c>
    </row>
    <row r="231" spans="1:17" x14ac:dyDescent="0.3">
      <c r="A231" s="8" t="s">
        <v>558</v>
      </c>
      <c r="B231" s="9" t="s">
        <v>136</v>
      </c>
      <c r="C231" s="9" t="s">
        <v>597</v>
      </c>
      <c r="D231" s="9">
        <v>13</v>
      </c>
      <c r="E231" s="9" t="s">
        <v>646</v>
      </c>
      <c r="F231" s="9" t="s">
        <v>661</v>
      </c>
      <c r="G231" s="10">
        <v>0.55694444444444446</v>
      </c>
      <c r="H231" s="9" t="s">
        <v>299</v>
      </c>
      <c r="I231" s="9">
        <v>6.84</v>
      </c>
      <c r="J231" s="9" t="s">
        <v>122</v>
      </c>
      <c r="K231" s="9">
        <v>393</v>
      </c>
      <c r="L231" s="9">
        <v>120</v>
      </c>
      <c r="M231" s="9" t="s">
        <v>22</v>
      </c>
      <c r="N231" s="9">
        <v>14</v>
      </c>
      <c r="O231" s="9" t="s">
        <v>23</v>
      </c>
      <c r="P231" s="9" t="s">
        <v>24</v>
      </c>
      <c r="Q231" s="11" t="str">
        <f t="shared" si="3"/>
        <v>Distance</v>
      </c>
    </row>
    <row r="232" spans="1:17" x14ac:dyDescent="0.3">
      <c r="A232" s="8" t="s">
        <v>561</v>
      </c>
      <c r="B232" s="9" t="s">
        <v>71</v>
      </c>
      <c r="C232" s="9" t="s">
        <v>597</v>
      </c>
      <c r="D232" s="9">
        <v>14</v>
      </c>
      <c r="E232" s="9" t="s">
        <v>651</v>
      </c>
      <c r="F232" s="9" t="s">
        <v>651</v>
      </c>
      <c r="G232" s="10">
        <v>0.72430555555555554</v>
      </c>
      <c r="H232" s="9" t="s">
        <v>654</v>
      </c>
      <c r="I232" s="9">
        <v>3.04</v>
      </c>
      <c r="J232" s="9" t="s">
        <v>90</v>
      </c>
      <c r="K232" s="9">
        <v>387</v>
      </c>
      <c r="L232" s="9">
        <v>85</v>
      </c>
      <c r="M232" s="9" t="s">
        <v>22</v>
      </c>
      <c r="N232" s="9">
        <v>13</v>
      </c>
      <c r="O232" s="9" t="s">
        <v>23</v>
      </c>
      <c r="P232" s="9" t="s">
        <v>24</v>
      </c>
      <c r="Q232" s="11" t="str">
        <f t="shared" si="3"/>
        <v>None</v>
      </c>
    </row>
    <row r="233" spans="1:17" x14ac:dyDescent="0.3">
      <c r="A233" s="8" t="s">
        <v>562</v>
      </c>
      <c r="B233" s="9" t="s">
        <v>410</v>
      </c>
      <c r="C233" s="9" t="s">
        <v>597</v>
      </c>
      <c r="D233" s="9">
        <v>20</v>
      </c>
      <c r="E233" s="9" t="s">
        <v>253</v>
      </c>
      <c r="F233" s="9" t="s">
        <v>254</v>
      </c>
      <c r="G233" s="10">
        <v>0.58680555555555558</v>
      </c>
      <c r="H233" s="9" t="s">
        <v>291</v>
      </c>
      <c r="I233" s="9">
        <v>4.46</v>
      </c>
      <c r="J233" s="9" t="s">
        <v>33</v>
      </c>
      <c r="K233" s="9">
        <v>322</v>
      </c>
      <c r="L233" s="9">
        <v>98</v>
      </c>
      <c r="M233" s="9" t="s">
        <v>22</v>
      </c>
      <c r="N233" s="9">
        <v>17</v>
      </c>
      <c r="O233" s="9" t="s">
        <v>23</v>
      </c>
      <c r="P233" s="9" t="s">
        <v>24</v>
      </c>
      <c r="Q233" s="11" t="str">
        <f t="shared" si="3"/>
        <v>None</v>
      </c>
    </row>
    <row r="234" spans="1:17" x14ac:dyDescent="0.3">
      <c r="A234" s="8" t="s">
        <v>563</v>
      </c>
      <c r="B234" s="9" t="s">
        <v>788</v>
      </c>
      <c r="C234" s="9" t="s">
        <v>594</v>
      </c>
      <c r="D234" s="9">
        <v>28</v>
      </c>
      <c r="E234" s="9" t="s">
        <v>186</v>
      </c>
      <c r="F234" s="9" t="s">
        <v>412</v>
      </c>
      <c r="G234" s="10">
        <v>0.67500000000000004</v>
      </c>
      <c r="H234" s="9" t="s">
        <v>523</v>
      </c>
      <c r="I234" s="9">
        <v>4.66</v>
      </c>
      <c r="J234" s="9" t="s">
        <v>40</v>
      </c>
      <c r="K234" s="9">
        <v>199</v>
      </c>
      <c r="L234" s="9">
        <v>93</v>
      </c>
      <c r="M234" s="9" t="s">
        <v>22</v>
      </c>
      <c r="N234" s="9">
        <v>18</v>
      </c>
      <c r="O234" s="9" t="s">
        <v>55</v>
      </c>
      <c r="P234" s="9" t="s">
        <v>24</v>
      </c>
      <c r="Q234" s="11" t="str">
        <f t="shared" si="3"/>
        <v>Restaurant Delay</v>
      </c>
    </row>
    <row r="235" spans="1:17" x14ac:dyDescent="0.3">
      <c r="A235" s="8" t="s">
        <v>564</v>
      </c>
      <c r="B235" s="9" t="s">
        <v>499</v>
      </c>
      <c r="C235" s="9" t="s">
        <v>597</v>
      </c>
      <c r="D235" s="9">
        <v>17</v>
      </c>
      <c r="E235" s="9" t="s">
        <v>369</v>
      </c>
      <c r="F235" s="9" t="s">
        <v>753</v>
      </c>
      <c r="G235" s="10">
        <v>0.75208333333333321</v>
      </c>
      <c r="H235" s="9" t="s">
        <v>715</v>
      </c>
      <c r="I235" s="9">
        <v>1.26</v>
      </c>
      <c r="J235" s="9" t="s">
        <v>118</v>
      </c>
      <c r="K235" s="9">
        <v>159</v>
      </c>
      <c r="L235" s="9">
        <v>63</v>
      </c>
      <c r="M235" s="9" t="s">
        <v>77</v>
      </c>
      <c r="N235" s="9">
        <v>17</v>
      </c>
      <c r="O235" s="9" t="s">
        <v>23</v>
      </c>
      <c r="P235" s="9" t="s">
        <v>78</v>
      </c>
      <c r="Q235" s="11" t="str">
        <f t="shared" si="3"/>
        <v>Restaurant Delay</v>
      </c>
    </row>
    <row r="236" spans="1:17" x14ac:dyDescent="0.3">
      <c r="A236" s="8" t="s">
        <v>566</v>
      </c>
      <c r="B236" s="9" t="s">
        <v>429</v>
      </c>
      <c r="C236" s="9" t="s">
        <v>597</v>
      </c>
      <c r="D236" s="9">
        <v>17</v>
      </c>
      <c r="E236" s="9" t="s">
        <v>730</v>
      </c>
      <c r="F236" s="9" t="s">
        <v>355</v>
      </c>
      <c r="G236" s="10">
        <v>0.79027777777777775</v>
      </c>
      <c r="H236" s="9" t="s">
        <v>785</v>
      </c>
      <c r="I236" s="9">
        <v>7.42</v>
      </c>
      <c r="J236" s="9" t="s">
        <v>40</v>
      </c>
      <c r="K236" s="9">
        <v>277</v>
      </c>
      <c r="L236" s="9">
        <v>126</v>
      </c>
      <c r="M236" s="9" t="s">
        <v>22</v>
      </c>
      <c r="N236" s="9">
        <v>17</v>
      </c>
      <c r="O236" s="9" t="s">
        <v>23</v>
      </c>
      <c r="P236" s="9" t="s">
        <v>24</v>
      </c>
      <c r="Q236" s="11" t="str">
        <f t="shared" si="3"/>
        <v>Distance</v>
      </c>
    </row>
    <row r="237" spans="1:17" x14ac:dyDescent="0.3">
      <c r="A237" s="8" t="s">
        <v>567</v>
      </c>
      <c r="B237" s="9" t="s">
        <v>767</v>
      </c>
      <c r="C237" s="9" t="s">
        <v>597</v>
      </c>
      <c r="D237" s="9">
        <v>18</v>
      </c>
      <c r="E237" s="9" t="s">
        <v>758</v>
      </c>
      <c r="F237" s="9" t="s">
        <v>795</v>
      </c>
      <c r="G237" s="10">
        <v>0.44166666666666671</v>
      </c>
      <c r="H237" s="9" t="s">
        <v>251</v>
      </c>
      <c r="I237" s="9">
        <v>4.1500000000000004</v>
      </c>
      <c r="J237" s="9" t="s">
        <v>177</v>
      </c>
      <c r="K237" s="9">
        <v>244</v>
      </c>
      <c r="L237" s="9">
        <v>96</v>
      </c>
      <c r="M237" s="9" t="s">
        <v>77</v>
      </c>
      <c r="N237" s="9">
        <v>18</v>
      </c>
      <c r="O237" s="9" t="s">
        <v>23</v>
      </c>
      <c r="P237" s="9" t="s">
        <v>78</v>
      </c>
      <c r="Q237" s="11" t="str">
        <f t="shared" si="3"/>
        <v>Restaurant Delay</v>
      </c>
    </row>
    <row r="238" spans="1:17" x14ac:dyDescent="0.3">
      <c r="A238" s="8" t="s">
        <v>570</v>
      </c>
      <c r="B238" s="9" t="s">
        <v>248</v>
      </c>
      <c r="C238" s="9" t="s">
        <v>597</v>
      </c>
      <c r="D238" s="9">
        <v>20</v>
      </c>
      <c r="E238" s="9" t="s">
        <v>571</v>
      </c>
      <c r="F238" s="9" t="s">
        <v>571</v>
      </c>
      <c r="G238" s="10">
        <v>0.74375000000000002</v>
      </c>
      <c r="H238" s="9" t="s">
        <v>596</v>
      </c>
      <c r="I238" s="9">
        <v>3.13</v>
      </c>
      <c r="J238" s="9" t="s">
        <v>177</v>
      </c>
      <c r="K238" s="9">
        <v>373</v>
      </c>
      <c r="L238" s="9">
        <v>85</v>
      </c>
      <c r="M238" s="9" t="s">
        <v>22</v>
      </c>
      <c r="N238" s="9">
        <v>17</v>
      </c>
      <c r="O238" s="9" t="s">
        <v>23</v>
      </c>
      <c r="P238" s="9" t="s">
        <v>24</v>
      </c>
      <c r="Q238" s="11" t="str">
        <f t="shared" si="3"/>
        <v>None</v>
      </c>
    </row>
    <row r="239" spans="1:17" x14ac:dyDescent="0.3">
      <c r="A239" s="8" t="s">
        <v>572</v>
      </c>
      <c r="B239" s="9" t="s">
        <v>661</v>
      </c>
      <c r="C239" s="9" t="s">
        <v>597</v>
      </c>
      <c r="D239" s="9">
        <v>17</v>
      </c>
      <c r="E239" s="9" t="s">
        <v>796</v>
      </c>
      <c r="F239" s="9" t="s">
        <v>671</v>
      </c>
      <c r="G239" s="10">
        <v>0.56874999999999998</v>
      </c>
      <c r="H239" s="9" t="s">
        <v>113</v>
      </c>
      <c r="I239" s="9">
        <v>7.68</v>
      </c>
      <c r="J239" s="9" t="s">
        <v>69</v>
      </c>
      <c r="K239" s="9">
        <v>194</v>
      </c>
      <c r="L239" s="9">
        <v>126</v>
      </c>
      <c r="M239" s="9" t="s">
        <v>22</v>
      </c>
      <c r="N239" s="9">
        <v>18</v>
      </c>
      <c r="O239" s="9" t="s">
        <v>23</v>
      </c>
      <c r="P239" s="9" t="s">
        <v>24</v>
      </c>
      <c r="Q239" s="11" t="str">
        <f t="shared" si="3"/>
        <v>Distance</v>
      </c>
    </row>
    <row r="240" spans="1:17" x14ac:dyDescent="0.3">
      <c r="A240" s="8" t="s">
        <v>573</v>
      </c>
      <c r="B240" s="9" t="s">
        <v>365</v>
      </c>
      <c r="C240" s="9" t="s">
        <v>597</v>
      </c>
      <c r="D240" s="9">
        <v>19</v>
      </c>
      <c r="E240" s="9" t="s">
        <v>354</v>
      </c>
      <c r="F240" s="9" t="s">
        <v>218</v>
      </c>
      <c r="G240" s="10">
        <v>0.78333333333333333</v>
      </c>
      <c r="H240" s="9" t="s">
        <v>460</v>
      </c>
      <c r="I240" s="9">
        <v>1.42</v>
      </c>
      <c r="J240" s="9" t="s">
        <v>76</v>
      </c>
      <c r="K240" s="9">
        <v>252</v>
      </c>
      <c r="L240" s="9">
        <v>68</v>
      </c>
      <c r="M240" s="9" t="s">
        <v>22</v>
      </c>
      <c r="N240" s="9">
        <v>13</v>
      </c>
      <c r="O240" s="9" t="s">
        <v>23</v>
      </c>
      <c r="P240" s="9" t="s">
        <v>24</v>
      </c>
      <c r="Q240" s="11" t="str">
        <f t="shared" si="3"/>
        <v>None</v>
      </c>
    </row>
    <row r="241" spans="1:17" x14ac:dyDescent="0.3">
      <c r="A241" s="8" t="s">
        <v>574</v>
      </c>
      <c r="B241" s="9" t="s">
        <v>19</v>
      </c>
      <c r="C241" s="9" t="s">
        <v>597</v>
      </c>
      <c r="D241" s="9">
        <v>12</v>
      </c>
      <c r="E241" s="9" t="s">
        <v>739</v>
      </c>
      <c r="F241" s="9" t="s">
        <v>770</v>
      </c>
      <c r="G241" s="10">
        <v>0.5180555555555556</v>
      </c>
      <c r="H241" s="9" t="s">
        <v>771</v>
      </c>
      <c r="I241" s="9">
        <v>1.92</v>
      </c>
      <c r="J241" s="9" t="s">
        <v>126</v>
      </c>
      <c r="K241" s="9">
        <v>330</v>
      </c>
      <c r="L241" s="9">
        <v>71</v>
      </c>
      <c r="M241" s="9" t="s">
        <v>22</v>
      </c>
      <c r="N241" s="9">
        <v>13</v>
      </c>
      <c r="O241" s="9" t="s">
        <v>23</v>
      </c>
      <c r="P241" s="9" t="s">
        <v>24</v>
      </c>
      <c r="Q241" s="11" t="str">
        <f t="shared" si="3"/>
        <v>None</v>
      </c>
    </row>
    <row r="242" spans="1:17" x14ac:dyDescent="0.3">
      <c r="A242" s="8" t="s">
        <v>577</v>
      </c>
      <c r="B242" s="9" t="s">
        <v>742</v>
      </c>
      <c r="C242" s="9" t="s">
        <v>597</v>
      </c>
      <c r="D242" s="9">
        <v>18</v>
      </c>
      <c r="E242" s="9" t="s">
        <v>715</v>
      </c>
      <c r="F242" s="9" t="s">
        <v>596</v>
      </c>
      <c r="G242" s="10">
        <v>0.76527777777777772</v>
      </c>
      <c r="H242" s="9" t="s">
        <v>152</v>
      </c>
      <c r="I242" s="9">
        <v>4.6399999999999997</v>
      </c>
      <c r="J242" s="9" t="s">
        <v>45</v>
      </c>
      <c r="K242" s="9">
        <v>351</v>
      </c>
      <c r="L242" s="9">
        <v>97</v>
      </c>
      <c r="M242" s="9" t="s">
        <v>22</v>
      </c>
      <c r="N242" s="9">
        <v>14</v>
      </c>
      <c r="O242" s="9" t="s">
        <v>23</v>
      </c>
      <c r="P242" s="9" t="s">
        <v>24</v>
      </c>
      <c r="Q242" s="11" t="str">
        <f t="shared" si="3"/>
        <v>None</v>
      </c>
    </row>
    <row r="243" spans="1:17" x14ac:dyDescent="0.3">
      <c r="A243" s="8" t="s">
        <v>578</v>
      </c>
      <c r="B243" s="9" t="s">
        <v>548</v>
      </c>
      <c r="C243" s="9" t="s">
        <v>597</v>
      </c>
      <c r="D243" s="9">
        <v>20</v>
      </c>
      <c r="E243" s="9" t="s">
        <v>783</v>
      </c>
      <c r="F243" s="9" t="s">
        <v>327</v>
      </c>
      <c r="G243" s="10">
        <v>0.63472222222222219</v>
      </c>
      <c r="H243" s="9" t="s">
        <v>788</v>
      </c>
      <c r="I243" s="9">
        <v>1.83</v>
      </c>
      <c r="J243" s="9" t="s">
        <v>33</v>
      </c>
      <c r="K243" s="9">
        <v>281</v>
      </c>
      <c r="L243" s="9">
        <v>65</v>
      </c>
      <c r="M243" s="9" t="s">
        <v>22</v>
      </c>
      <c r="N243" s="9">
        <v>15</v>
      </c>
      <c r="O243" s="9" t="s">
        <v>55</v>
      </c>
      <c r="P243" s="9" t="s">
        <v>24</v>
      </c>
      <c r="Q243" s="11" t="str">
        <f t="shared" si="3"/>
        <v>None</v>
      </c>
    </row>
    <row r="244" spans="1:17" x14ac:dyDescent="0.3">
      <c r="A244" s="8" t="s">
        <v>579</v>
      </c>
      <c r="B244" s="9" t="s">
        <v>313</v>
      </c>
      <c r="C244" s="9" t="s">
        <v>597</v>
      </c>
      <c r="D244" s="9">
        <v>18</v>
      </c>
      <c r="E244" s="9" t="s">
        <v>571</v>
      </c>
      <c r="F244" s="9" t="s">
        <v>571</v>
      </c>
      <c r="G244" s="10">
        <v>0.74444444444444446</v>
      </c>
      <c r="H244" s="9" t="s">
        <v>729</v>
      </c>
      <c r="I244" s="9">
        <v>6.85</v>
      </c>
      <c r="J244" s="9" t="s">
        <v>49</v>
      </c>
      <c r="K244" s="9">
        <v>177</v>
      </c>
      <c r="L244" s="9">
        <v>120</v>
      </c>
      <c r="M244" s="9" t="s">
        <v>22</v>
      </c>
      <c r="N244" s="9">
        <v>15</v>
      </c>
      <c r="O244" s="9" t="s">
        <v>23</v>
      </c>
      <c r="P244" s="9" t="s">
        <v>24</v>
      </c>
      <c r="Q244" s="11" t="str">
        <f t="shared" si="3"/>
        <v>Distance</v>
      </c>
    </row>
    <row r="245" spans="1:17" x14ac:dyDescent="0.3">
      <c r="A245" s="8" t="s">
        <v>580</v>
      </c>
      <c r="B245" s="9" t="s">
        <v>147</v>
      </c>
      <c r="C245" s="9" t="s">
        <v>597</v>
      </c>
      <c r="D245" s="9">
        <v>17</v>
      </c>
      <c r="E245" s="9" t="s">
        <v>239</v>
      </c>
      <c r="F245" s="9" t="s">
        <v>239</v>
      </c>
      <c r="G245" s="10">
        <v>0.81944444444444431</v>
      </c>
      <c r="H245" s="9" t="s">
        <v>334</v>
      </c>
      <c r="I245" s="9">
        <v>4.33</v>
      </c>
      <c r="J245" s="9" t="s">
        <v>69</v>
      </c>
      <c r="K245" s="9">
        <v>392</v>
      </c>
      <c r="L245" s="9">
        <v>100</v>
      </c>
      <c r="M245" s="9" t="s">
        <v>22</v>
      </c>
      <c r="N245" s="9">
        <v>11</v>
      </c>
      <c r="O245" s="9" t="s">
        <v>34</v>
      </c>
      <c r="P245" s="9" t="s">
        <v>24</v>
      </c>
      <c r="Q245" s="11" t="str">
        <f t="shared" si="3"/>
        <v>Traffic</v>
      </c>
    </row>
    <row r="246" spans="1:17" x14ac:dyDescent="0.3">
      <c r="A246" s="8" t="s">
        <v>582</v>
      </c>
      <c r="B246" s="9" t="s">
        <v>499</v>
      </c>
      <c r="C246" s="9" t="s">
        <v>597</v>
      </c>
      <c r="D246" s="9">
        <v>14</v>
      </c>
      <c r="E246" s="9" t="s">
        <v>501</v>
      </c>
      <c r="F246" s="9" t="s">
        <v>797</v>
      </c>
      <c r="G246" s="10">
        <v>0.75</v>
      </c>
      <c r="H246" s="9" t="s">
        <v>320</v>
      </c>
      <c r="I246" s="9">
        <v>6.89</v>
      </c>
      <c r="J246" s="9" t="s">
        <v>28</v>
      </c>
      <c r="K246" s="9">
        <v>348</v>
      </c>
      <c r="L246" s="9">
        <v>119</v>
      </c>
      <c r="M246" s="9" t="s">
        <v>22</v>
      </c>
      <c r="N246" s="9">
        <v>14</v>
      </c>
      <c r="O246" s="9" t="s">
        <v>23</v>
      </c>
      <c r="P246" s="9" t="s">
        <v>24</v>
      </c>
      <c r="Q246" s="11" t="str">
        <f t="shared" si="3"/>
        <v>Distance</v>
      </c>
    </row>
    <row r="247" spans="1:17" x14ac:dyDescent="0.3">
      <c r="A247" s="8" t="s">
        <v>585</v>
      </c>
      <c r="B247" s="9" t="s">
        <v>139</v>
      </c>
      <c r="C247" s="9" t="s">
        <v>594</v>
      </c>
      <c r="D247" s="9">
        <v>27</v>
      </c>
      <c r="E247" s="9" t="s">
        <v>149</v>
      </c>
      <c r="F247" s="9" t="s">
        <v>308</v>
      </c>
      <c r="G247" s="10">
        <v>0.84375</v>
      </c>
      <c r="H247" s="9" t="s">
        <v>798</v>
      </c>
      <c r="I247" s="9">
        <v>4.12</v>
      </c>
      <c r="J247" s="9" t="s">
        <v>49</v>
      </c>
      <c r="K247" s="9">
        <v>377</v>
      </c>
      <c r="L247" s="9">
        <v>99</v>
      </c>
      <c r="M247" s="9" t="s">
        <v>22</v>
      </c>
      <c r="N247" s="9">
        <v>12</v>
      </c>
      <c r="O247" s="9" t="s">
        <v>34</v>
      </c>
      <c r="P247" s="9" t="s">
        <v>24</v>
      </c>
      <c r="Q247" s="11" t="str">
        <f t="shared" si="3"/>
        <v>Traffic</v>
      </c>
    </row>
    <row r="248" spans="1:17" x14ac:dyDescent="0.3">
      <c r="A248" s="8" t="s">
        <v>586</v>
      </c>
      <c r="B248" s="9" t="s">
        <v>413</v>
      </c>
      <c r="C248" s="9" t="s">
        <v>594</v>
      </c>
      <c r="D248" s="9">
        <v>39</v>
      </c>
      <c r="E248" s="9" t="s">
        <v>163</v>
      </c>
      <c r="F248" s="9" t="s">
        <v>703</v>
      </c>
      <c r="G248" s="10">
        <v>0.7284722222222223</v>
      </c>
      <c r="H248" s="9" t="s">
        <v>797</v>
      </c>
      <c r="I248" s="9">
        <v>4.26</v>
      </c>
      <c r="J248" s="9" t="s">
        <v>21</v>
      </c>
      <c r="K248" s="9">
        <v>252</v>
      </c>
      <c r="L248" s="9">
        <v>90</v>
      </c>
      <c r="M248" s="9" t="s">
        <v>22</v>
      </c>
      <c r="N248" s="9">
        <v>17</v>
      </c>
      <c r="O248" s="9" t="s">
        <v>55</v>
      </c>
      <c r="P248" s="9" t="s">
        <v>24</v>
      </c>
      <c r="Q248" s="11" t="str">
        <f t="shared" si="3"/>
        <v>Restaurant Delay</v>
      </c>
    </row>
    <row r="249" spans="1:17" x14ac:dyDescent="0.3">
      <c r="A249" s="8" t="s">
        <v>588</v>
      </c>
      <c r="B249" s="9" t="s">
        <v>204</v>
      </c>
      <c r="C249" s="9" t="s">
        <v>597</v>
      </c>
      <c r="D249" s="9">
        <v>19</v>
      </c>
      <c r="E249" s="9" t="s">
        <v>463</v>
      </c>
      <c r="F249" s="9" t="s">
        <v>464</v>
      </c>
      <c r="G249" s="10">
        <v>0.73819444444444438</v>
      </c>
      <c r="H249" s="9" t="s">
        <v>217</v>
      </c>
      <c r="I249" s="9">
        <v>4.54</v>
      </c>
      <c r="J249" s="9" t="s">
        <v>65</v>
      </c>
      <c r="K249" s="9">
        <v>398</v>
      </c>
      <c r="L249" s="9">
        <v>98</v>
      </c>
      <c r="M249" s="9" t="s">
        <v>22</v>
      </c>
      <c r="N249" s="9">
        <v>17</v>
      </c>
      <c r="O249" s="9" t="s">
        <v>23</v>
      </c>
      <c r="P249" s="9" t="s">
        <v>24</v>
      </c>
      <c r="Q249" s="11" t="str">
        <f t="shared" si="3"/>
        <v>None</v>
      </c>
    </row>
    <row r="250" spans="1:17" x14ac:dyDescent="0.3">
      <c r="A250" s="8" t="s">
        <v>589</v>
      </c>
      <c r="B250" s="9" t="s">
        <v>303</v>
      </c>
      <c r="C250" s="9" t="s">
        <v>597</v>
      </c>
      <c r="D250" s="9">
        <v>13</v>
      </c>
      <c r="E250" s="9" t="s">
        <v>702</v>
      </c>
      <c r="F250" s="9" t="s">
        <v>702</v>
      </c>
      <c r="G250" s="10">
        <v>0.56527777777777777</v>
      </c>
      <c r="H250" s="9" t="s">
        <v>609</v>
      </c>
      <c r="I250" s="9">
        <v>7.14</v>
      </c>
      <c r="J250" s="9" t="s">
        <v>99</v>
      </c>
      <c r="K250" s="9">
        <v>258</v>
      </c>
      <c r="L250" s="9">
        <v>126</v>
      </c>
      <c r="M250" s="9" t="s">
        <v>22</v>
      </c>
      <c r="N250" s="9">
        <v>15</v>
      </c>
      <c r="O250" s="9" t="s">
        <v>23</v>
      </c>
      <c r="P250" s="9" t="s">
        <v>24</v>
      </c>
      <c r="Q250" s="11" t="str">
        <f t="shared" si="3"/>
        <v>Distance</v>
      </c>
    </row>
    <row r="251" spans="1:17" ht="15" thickBot="1" x14ac:dyDescent="0.35">
      <c r="A251" s="12" t="s">
        <v>590</v>
      </c>
      <c r="B251" s="13" t="s">
        <v>595</v>
      </c>
      <c r="C251" s="13" t="s">
        <v>597</v>
      </c>
      <c r="D251" s="13">
        <v>15</v>
      </c>
      <c r="E251" s="13" t="s">
        <v>742</v>
      </c>
      <c r="F251" s="13" t="s">
        <v>228</v>
      </c>
      <c r="G251" s="14">
        <v>0.75347222222222232</v>
      </c>
      <c r="H251" s="13" t="s">
        <v>146</v>
      </c>
      <c r="I251" s="13">
        <v>7.56</v>
      </c>
      <c r="J251" s="13" t="s">
        <v>76</v>
      </c>
      <c r="K251" s="13">
        <v>333</v>
      </c>
      <c r="L251" s="13">
        <v>127</v>
      </c>
      <c r="M251" s="13" t="s">
        <v>77</v>
      </c>
      <c r="N251" s="13">
        <v>16</v>
      </c>
      <c r="O251" s="13" t="s">
        <v>23</v>
      </c>
      <c r="P251" s="13" t="s">
        <v>78</v>
      </c>
      <c r="Q251" s="15" t="str">
        <f t="shared" si="3"/>
        <v>Restaurant Delay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1"/>
  <sheetViews>
    <sheetView topLeftCell="AB1" zoomScale="59" zoomScaleNormal="85" workbookViewId="0">
      <selection activeCell="AE1" sqref="AE1"/>
    </sheetView>
  </sheetViews>
  <sheetFormatPr defaultRowHeight="14.4" x14ac:dyDescent="0.3"/>
  <cols>
    <col min="1" max="1" width="13.44140625" style="1" customWidth="1"/>
    <col min="2" max="2" width="16.88671875" style="1" customWidth="1"/>
    <col min="3" max="3" width="15.33203125" style="1" customWidth="1"/>
    <col min="4" max="4" width="17" style="1" customWidth="1"/>
    <col min="5" max="5" width="14.88671875" style="1" customWidth="1"/>
    <col min="6" max="6" width="26.6640625" style="1" customWidth="1"/>
    <col min="7" max="7" width="17" style="66" customWidth="1"/>
    <col min="8" max="8" width="17" style="1" customWidth="1"/>
    <col min="9" max="9" width="15.5546875" style="1" customWidth="1"/>
    <col min="10" max="10" width="13.44140625" style="1" customWidth="1"/>
    <col min="11" max="11" width="15.88671875" style="1" customWidth="1"/>
    <col min="12" max="12" width="17.44140625" style="1" customWidth="1"/>
    <col min="13" max="13" width="15.5546875" style="1" customWidth="1"/>
    <col min="14" max="14" width="21.21875" style="1" customWidth="1"/>
    <col min="15" max="15" width="17.5546875" style="1" customWidth="1"/>
    <col min="16" max="16" width="21" style="1" customWidth="1"/>
    <col min="17" max="17" width="18.44140625" style="1" customWidth="1"/>
    <col min="18" max="18" width="25.33203125" style="1" customWidth="1"/>
    <col min="19" max="19" width="19.5546875" style="1" customWidth="1"/>
    <col min="20" max="20" width="15.44140625" style="1" customWidth="1"/>
    <col min="21" max="21" width="16.6640625" style="1" customWidth="1"/>
    <col min="22" max="22" width="15.33203125" style="1" customWidth="1"/>
    <col min="23" max="23" width="14.88671875" style="1" customWidth="1"/>
    <col min="24" max="24" width="16.33203125" style="1" customWidth="1"/>
    <col min="25" max="25" width="27" style="67" customWidth="1"/>
    <col min="26" max="26" width="17.6640625" style="67" customWidth="1"/>
    <col min="27" max="27" width="24.33203125" style="67" customWidth="1"/>
    <col min="28" max="28" width="36.77734375" style="1" customWidth="1"/>
    <col min="29" max="29" width="27" style="1" customWidth="1"/>
    <col min="30" max="30" width="21.21875" style="68" bestFit="1" customWidth="1"/>
    <col min="31" max="16384" width="8.88671875" style="1"/>
  </cols>
  <sheetData>
    <row r="1" spans="1:30" x14ac:dyDescent="0.3">
      <c r="A1" s="4" t="s">
        <v>0</v>
      </c>
      <c r="B1" s="5" t="s">
        <v>1</v>
      </c>
      <c r="C1" s="5" t="s">
        <v>593</v>
      </c>
      <c r="D1" s="5" t="s">
        <v>2</v>
      </c>
      <c r="E1" s="5" t="s">
        <v>3</v>
      </c>
      <c r="F1" s="5" t="s">
        <v>4</v>
      </c>
      <c r="G1" s="6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799</v>
      </c>
      <c r="S1" s="5" t="s">
        <v>800</v>
      </c>
      <c r="T1" s="5" t="s">
        <v>801</v>
      </c>
      <c r="U1" s="5" t="s">
        <v>802</v>
      </c>
      <c r="V1" s="5" t="s">
        <v>803</v>
      </c>
      <c r="W1" s="5" t="s">
        <v>804</v>
      </c>
      <c r="X1" s="5" t="s">
        <v>805</v>
      </c>
      <c r="Y1" s="22" t="s">
        <v>806</v>
      </c>
      <c r="Z1" s="22" t="s">
        <v>807</v>
      </c>
      <c r="AA1" s="22" t="s">
        <v>810</v>
      </c>
      <c r="AB1" s="5" t="s">
        <v>808</v>
      </c>
      <c r="AC1" s="5" t="s">
        <v>809</v>
      </c>
      <c r="AD1" s="63" t="s">
        <v>875</v>
      </c>
    </row>
    <row r="2" spans="1:30" x14ac:dyDescent="0.3">
      <c r="A2" s="8" t="s">
        <v>16</v>
      </c>
      <c r="B2" s="9" t="s">
        <v>682</v>
      </c>
      <c r="C2" s="9" t="s">
        <v>597</v>
      </c>
      <c r="D2" s="9">
        <v>11</v>
      </c>
      <c r="E2" s="9" t="s">
        <v>683</v>
      </c>
      <c r="F2" s="9" t="s">
        <v>20</v>
      </c>
      <c r="G2" s="10">
        <v>0.52361111111111114</v>
      </c>
      <c r="H2" s="9" t="s">
        <v>640</v>
      </c>
      <c r="I2" s="9">
        <v>4.47</v>
      </c>
      <c r="J2" s="9" t="s">
        <v>45</v>
      </c>
      <c r="K2" s="9">
        <v>247</v>
      </c>
      <c r="L2" s="9">
        <v>94</v>
      </c>
      <c r="M2" s="9" t="s">
        <v>22</v>
      </c>
      <c r="N2" s="9">
        <v>14</v>
      </c>
      <c r="O2" s="9" t="s">
        <v>23</v>
      </c>
      <c r="P2" s="9" t="s">
        <v>24</v>
      </c>
      <c r="Q2" s="9" t="str">
        <f>IF(M2="Failed",
IF(O2="High","Traffic",
IF(N2&lt;10,"No Rider","Restaurant Delay")),
IF(((H2-B2)*1440 - (D2 + I2*5))&lt;=7,"None",
IF(O2="High","Traffic",
IF(N2&lt;10,"No Rider",
IF(C2="Bulk","Restaurant Delay",
IF(I2&gt;=6,"Distance","None"))))))</f>
        <v>None</v>
      </c>
      <c r="R2" s="9">
        <f>(H2-B2)*1440</f>
        <v>48.000000000000149</v>
      </c>
      <c r="S2" s="9">
        <f>(F2-E2)*1440</f>
        <v>2.9999999999999893</v>
      </c>
      <c r="T2" s="9">
        <f>(G2-F2)*1440</f>
        <v>2.9999999999999893</v>
      </c>
      <c r="U2" s="9">
        <f>(H2-G2)*1440</f>
        <v>31.00000000000005</v>
      </c>
      <c r="V2" s="9">
        <f>HOUR(B2)</f>
        <v>12</v>
      </c>
      <c r="W2" s="9" t="str">
        <f>IF(HOUR(B2)&gt;=10,IF(HOUR(B2)&lt;12,"Late Morning",IF(HOUR(B2)&lt;15,"Afternoon",IF(HOUR(B2)&lt;18,"Evening",IF(HOUR(B2)&lt;21,"Peak Night","Late Night")))),"Morning")</f>
        <v>Afternoon</v>
      </c>
      <c r="X2" s="9" t="str">
        <f>IF(OR(AND(HOUR(B2)&gt;=12,HOUR(B2)&lt;14),AND(HOUR(B2)&gt;=17,HOUR(B2)&lt;21)),"Peak","Off-Peak")</f>
        <v>Peak</v>
      </c>
      <c r="Y2" s="23">
        <f>I2/U2</f>
        <v>0.14419354838709653</v>
      </c>
      <c r="Z2" s="23">
        <f>L2/I2</f>
        <v>21.029082774049218</v>
      </c>
      <c r="AA2" s="23">
        <f>L2/K2</f>
        <v>0.38056680161943318</v>
      </c>
      <c r="AB2" s="9" t="str">
        <f>IF((H2-B2)*1440&gt;45,"Late","On-Time")</f>
        <v>Late</v>
      </c>
      <c r="AC2" s="9" t="str">
        <f>IF(P2="Yes",Q2,"No Delay")</f>
        <v>No Delay</v>
      </c>
      <c r="AD2" s="64" t="str">
        <f>IF(I2&lt;=2,"Short (0-2km)",IF(I2&lt;=5,"Medium (2-5km)","Long (5+km)"))</f>
        <v>Medium (2-5km)</v>
      </c>
    </row>
    <row r="3" spans="1:30" x14ac:dyDescent="0.3">
      <c r="A3" s="8" t="s">
        <v>25</v>
      </c>
      <c r="B3" s="9" t="s">
        <v>452</v>
      </c>
      <c r="C3" s="9" t="s">
        <v>597</v>
      </c>
      <c r="D3" s="9">
        <v>16</v>
      </c>
      <c r="E3" s="9" t="s">
        <v>117</v>
      </c>
      <c r="F3" s="9" t="s">
        <v>117</v>
      </c>
      <c r="G3" s="10">
        <v>0.49861111111111112</v>
      </c>
      <c r="H3" s="9" t="s">
        <v>380</v>
      </c>
      <c r="I3" s="9">
        <v>6.34</v>
      </c>
      <c r="J3" s="9" t="s">
        <v>160</v>
      </c>
      <c r="K3" s="9">
        <v>218</v>
      </c>
      <c r="L3" s="9">
        <v>117</v>
      </c>
      <c r="M3" s="9" t="s">
        <v>22</v>
      </c>
      <c r="N3" s="9">
        <v>15</v>
      </c>
      <c r="O3" s="9" t="s">
        <v>23</v>
      </c>
      <c r="P3" s="9" t="s">
        <v>24</v>
      </c>
      <c r="Q3" s="9" t="str">
        <f t="shared" ref="Q3:Q66" si="0">IF(M3="Failed",
IF(O3="High","Traffic",
IF(N3&lt;10,"No Rider","Restaurant Delay")),
IF(((H3-B3)*1440 - (D3 + I3*5))&lt;=7,"None",
IF(O3="High","Traffic",
IF(N3&lt;10,"No Rider",
IF(C3="Bulk","Restaurant Delay",
IF(I3&gt;=6,"Distance","None"))))))</f>
        <v>Distance</v>
      </c>
      <c r="R3" s="9">
        <f t="shared" ref="R3:R66" si="1">(H3-B3)*1440</f>
        <v>63.000000000000014</v>
      </c>
      <c r="S3" s="9">
        <f t="shared" ref="S3:S66" si="2">(F3-E3)*1440</f>
        <v>0</v>
      </c>
      <c r="T3" s="9">
        <f t="shared" ref="T3:T66" si="3">(G3-F3)*1440</f>
        <v>5.9999999999999787</v>
      </c>
      <c r="U3" s="9">
        <f>(H3-G3)*1440</f>
        <v>41.000000000000014</v>
      </c>
      <c r="V3" s="9">
        <f t="shared" ref="V3:V66" si="4">HOUR(B3)</f>
        <v>11</v>
      </c>
      <c r="W3" s="9" t="str">
        <f t="shared" ref="W3:W66" si="5">IF(HOUR(B3)&gt;=10,IF(HOUR(B3)&lt;12,"Late Morning",IF(HOUR(B3)&lt;15,"Afternoon",IF(HOUR(B3)&lt;18,"Evening",IF(HOUR(B3)&lt;21,"Peak Night","Late Night")))),"Morning")</f>
        <v>Late Morning</v>
      </c>
      <c r="X3" s="9" t="str">
        <f t="shared" ref="X3:X66" si="6">IF(OR(AND(HOUR(B3)&gt;=12,HOUR(B3)&lt;14),AND(HOUR(B3)&gt;=17,HOUR(B3)&lt;21)),"Peak","Off-Peak")</f>
        <v>Off-Peak</v>
      </c>
      <c r="Y3" s="23">
        <f t="shared" ref="Y3:Y66" si="7">I3/U3</f>
        <v>0.15463414634146336</v>
      </c>
      <c r="Z3" s="23">
        <f t="shared" ref="Z3:Z66" si="8">L3/I3</f>
        <v>18.454258675078865</v>
      </c>
      <c r="AA3" s="23">
        <f t="shared" ref="AA3:AA66" si="9">L3/K3</f>
        <v>0.53669724770642202</v>
      </c>
      <c r="AB3" s="9" t="str">
        <f t="shared" ref="AB3:AB66" si="10">IF((H3-B3)*1440&gt;45,"Late","On-Time")</f>
        <v>Late</v>
      </c>
      <c r="AC3" s="9" t="str">
        <f t="shared" ref="AC3:AC66" si="11">IF(P3="Yes",Q3,"No Delay")</f>
        <v>No Delay</v>
      </c>
      <c r="AD3" s="64" t="str">
        <f t="shared" ref="AD3:AD66" si="12">IF(I3&lt;=2,"Short (0-2km)",IF(I3&lt;=5,"Medium (2-5km)","Long (5+km)"))</f>
        <v>Long (5+km)</v>
      </c>
    </row>
    <row r="4" spans="1:30" x14ac:dyDescent="0.3">
      <c r="A4" s="8" t="s">
        <v>29</v>
      </c>
      <c r="B4" s="9" t="s">
        <v>605</v>
      </c>
      <c r="C4" s="9" t="s">
        <v>597</v>
      </c>
      <c r="D4" s="9">
        <v>10</v>
      </c>
      <c r="E4" s="9" t="s">
        <v>17</v>
      </c>
      <c r="F4" s="9" t="s">
        <v>17</v>
      </c>
      <c r="G4" s="10">
        <v>0.49722222222222223</v>
      </c>
      <c r="H4" s="9" t="s">
        <v>106</v>
      </c>
      <c r="I4" s="9">
        <v>5.55</v>
      </c>
      <c r="J4" s="9" t="s">
        <v>45</v>
      </c>
      <c r="K4" s="9">
        <v>247</v>
      </c>
      <c r="L4" s="9">
        <v>105</v>
      </c>
      <c r="M4" s="9" t="s">
        <v>22</v>
      </c>
      <c r="N4" s="9">
        <v>12</v>
      </c>
      <c r="O4" s="9" t="s">
        <v>23</v>
      </c>
      <c r="P4" s="9" t="s">
        <v>24</v>
      </c>
      <c r="Q4" s="9" t="str">
        <f t="shared" si="0"/>
        <v>None</v>
      </c>
      <c r="R4" s="9">
        <f t="shared" si="1"/>
        <v>49.000000000000064</v>
      </c>
      <c r="S4" s="9">
        <f t="shared" si="2"/>
        <v>0</v>
      </c>
      <c r="T4" s="9">
        <f t="shared" si="3"/>
        <v>1.9999999999999929</v>
      </c>
      <c r="U4" s="9">
        <f t="shared" ref="U4:U67" si="13">(H4-G4)*1440</f>
        <v>37.000000000000028</v>
      </c>
      <c r="V4" s="9">
        <f t="shared" si="4"/>
        <v>11</v>
      </c>
      <c r="W4" s="9" t="str">
        <f t="shared" si="5"/>
        <v>Late Morning</v>
      </c>
      <c r="X4" s="9" t="str">
        <f t="shared" si="6"/>
        <v>Off-Peak</v>
      </c>
      <c r="Y4" s="23">
        <f t="shared" si="7"/>
        <v>0.14999999999999988</v>
      </c>
      <c r="Z4" s="23">
        <f t="shared" si="8"/>
        <v>18.918918918918919</v>
      </c>
      <c r="AA4" s="23">
        <f t="shared" si="9"/>
        <v>0.4251012145748988</v>
      </c>
      <c r="AB4" s="9" t="str">
        <f t="shared" si="10"/>
        <v>Late</v>
      </c>
      <c r="AC4" s="9" t="str">
        <f t="shared" si="11"/>
        <v>No Delay</v>
      </c>
      <c r="AD4" s="64" t="str">
        <f t="shared" si="12"/>
        <v>Long (5+km)</v>
      </c>
    </row>
    <row r="5" spans="1:30" x14ac:dyDescent="0.3">
      <c r="A5" s="8" t="s">
        <v>35</v>
      </c>
      <c r="B5" s="9" t="s">
        <v>36</v>
      </c>
      <c r="C5" s="9" t="s">
        <v>597</v>
      </c>
      <c r="D5" s="9">
        <v>18</v>
      </c>
      <c r="E5" s="9" t="s">
        <v>313</v>
      </c>
      <c r="F5" s="9" t="s">
        <v>422</v>
      </c>
      <c r="G5" s="10">
        <v>0.73055555555555551</v>
      </c>
      <c r="H5" s="9" t="s">
        <v>337</v>
      </c>
      <c r="I5" s="9">
        <v>7.57</v>
      </c>
      <c r="J5" s="9" t="s">
        <v>160</v>
      </c>
      <c r="K5" s="9">
        <v>323</v>
      </c>
      <c r="L5" s="9">
        <v>128</v>
      </c>
      <c r="M5" s="9" t="s">
        <v>22</v>
      </c>
      <c r="N5" s="9">
        <v>13</v>
      </c>
      <c r="O5" s="9" t="s">
        <v>23</v>
      </c>
      <c r="P5" s="9" t="s">
        <v>24</v>
      </c>
      <c r="Q5" s="9" t="str">
        <f t="shared" si="0"/>
        <v>Distance</v>
      </c>
      <c r="R5" s="9">
        <f t="shared" si="1"/>
        <v>70.999999999999915</v>
      </c>
      <c r="S5" s="9">
        <f t="shared" si="2"/>
        <v>0.99999999999999645</v>
      </c>
      <c r="T5" s="9">
        <f t="shared" si="3"/>
        <v>0.99999999999999645</v>
      </c>
      <c r="U5" s="9">
        <f t="shared" si="13"/>
        <v>50.999999999999979</v>
      </c>
      <c r="V5" s="9">
        <f t="shared" si="4"/>
        <v>17</v>
      </c>
      <c r="W5" s="9" t="str">
        <f t="shared" si="5"/>
        <v>Evening</v>
      </c>
      <c r="X5" s="9" t="str">
        <f t="shared" si="6"/>
        <v>Peak</v>
      </c>
      <c r="Y5" s="23">
        <f t="shared" si="7"/>
        <v>0.14843137254901967</v>
      </c>
      <c r="Z5" s="23">
        <f t="shared" si="8"/>
        <v>16.908850726552178</v>
      </c>
      <c r="AA5" s="23">
        <f t="shared" si="9"/>
        <v>0.39628482972136225</v>
      </c>
      <c r="AB5" s="9" t="str">
        <f t="shared" si="10"/>
        <v>Late</v>
      </c>
      <c r="AC5" s="9" t="str">
        <f t="shared" si="11"/>
        <v>No Delay</v>
      </c>
      <c r="AD5" s="64" t="str">
        <f t="shared" si="12"/>
        <v>Long (5+km)</v>
      </c>
    </row>
    <row r="6" spans="1:30" x14ac:dyDescent="0.3">
      <c r="A6" s="8" t="s">
        <v>41</v>
      </c>
      <c r="B6" s="9" t="s">
        <v>656</v>
      </c>
      <c r="C6" s="9" t="s">
        <v>597</v>
      </c>
      <c r="D6" s="9">
        <v>10</v>
      </c>
      <c r="E6" s="9" t="s">
        <v>540</v>
      </c>
      <c r="F6" s="9" t="s">
        <v>540</v>
      </c>
      <c r="G6" s="10">
        <v>0.75069444444444444</v>
      </c>
      <c r="H6" s="9" t="s">
        <v>146</v>
      </c>
      <c r="I6" s="9">
        <v>7.46</v>
      </c>
      <c r="J6" s="9" t="s">
        <v>211</v>
      </c>
      <c r="K6" s="9">
        <v>335</v>
      </c>
      <c r="L6" s="9">
        <v>128</v>
      </c>
      <c r="M6" s="9" t="s">
        <v>22</v>
      </c>
      <c r="N6" s="9">
        <v>15</v>
      </c>
      <c r="O6" s="9" t="s">
        <v>23</v>
      </c>
      <c r="P6" s="9" t="s">
        <v>24</v>
      </c>
      <c r="Q6" s="9" t="str">
        <f t="shared" si="0"/>
        <v>Distance</v>
      </c>
      <c r="R6" s="9">
        <f t="shared" si="1"/>
        <v>63.000000000000099</v>
      </c>
      <c r="S6" s="9">
        <f t="shared" si="2"/>
        <v>0</v>
      </c>
      <c r="T6" s="9">
        <f t="shared" si="3"/>
        <v>0.99999999999999645</v>
      </c>
      <c r="U6" s="9">
        <f t="shared" si="13"/>
        <v>51.999999999999972</v>
      </c>
      <c r="V6" s="9">
        <f t="shared" si="4"/>
        <v>17</v>
      </c>
      <c r="W6" s="9" t="str">
        <f t="shared" si="5"/>
        <v>Evening</v>
      </c>
      <c r="X6" s="9" t="str">
        <f t="shared" si="6"/>
        <v>Peak</v>
      </c>
      <c r="Y6" s="23">
        <f t="shared" si="7"/>
        <v>0.14346153846153853</v>
      </c>
      <c r="Z6" s="23">
        <f t="shared" si="8"/>
        <v>17.158176943699733</v>
      </c>
      <c r="AA6" s="23">
        <f t="shared" si="9"/>
        <v>0.38208955223880597</v>
      </c>
      <c r="AB6" s="9" t="str">
        <f t="shared" si="10"/>
        <v>Late</v>
      </c>
      <c r="AC6" s="9" t="str">
        <f t="shared" si="11"/>
        <v>No Delay</v>
      </c>
      <c r="AD6" s="64" t="str">
        <f t="shared" si="12"/>
        <v>Long (5+km)</v>
      </c>
    </row>
    <row r="7" spans="1:30" x14ac:dyDescent="0.3">
      <c r="A7" s="8" t="s">
        <v>44</v>
      </c>
      <c r="B7" s="9" t="s">
        <v>277</v>
      </c>
      <c r="C7" s="9" t="s">
        <v>597</v>
      </c>
      <c r="D7" s="9">
        <v>18</v>
      </c>
      <c r="E7" s="9" t="s">
        <v>352</v>
      </c>
      <c r="F7" s="9" t="s">
        <v>278</v>
      </c>
      <c r="G7" s="10">
        <v>0.5180555555555556</v>
      </c>
      <c r="H7" s="9" t="s">
        <v>621</v>
      </c>
      <c r="I7" s="9">
        <v>6.81</v>
      </c>
      <c r="J7" s="9" t="s">
        <v>122</v>
      </c>
      <c r="K7" s="9">
        <v>300</v>
      </c>
      <c r="L7" s="9">
        <v>122</v>
      </c>
      <c r="M7" s="9" t="s">
        <v>22</v>
      </c>
      <c r="N7" s="9">
        <v>15</v>
      </c>
      <c r="O7" s="9" t="s">
        <v>23</v>
      </c>
      <c r="P7" s="9" t="s">
        <v>24</v>
      </c>
      <c r="Q7" s="9" t="str">
        <f t="shared" si="0"/>
        <v>Distance</v>
      </c>
      <c r="R7" s="9">
        <f t="shared" si="1"/>
        <v>68.999999999999915</v>
      </c>
      <c r="S7" s="9">
        <f t="shared" si="2"/>
        <v>1.0000000000001563</v>
      </c>
      <c r="T7" s="9">
        <f t="shared" si="3"/>
        <v>3.9999999999999858</v>
      </c>
      <c r="U7" s="9">
        <f t="shared" si="13"/>
        <v>45.999999999999837</v>
      </c>
      <c r="V7" s="9">
        <f t="shared" si="4"/>
        <v>12</v>
      </c>
      <c r="W7" s="9" t="str">
        <f t="shared" si="5"/>
        <v>Afternoon</v>
      </c>
      <c r="X7" s="9" t="str">
        <f t="shared" si="6"/>
        <v>Peak</v>
      </c>
      <c r="Y7" s="23">
        <f t="shared" si="7"/>
        <v>0.14804347826087008</v>
      </c>
      <c r="Z7" s="23">
        <f t="shared" si="8"/>
        <v>17.914831130690164</v>
      </c>
      <c r="AA7" s="23">
        <f t="shared" si="9"/>
        <v>0.40666666666666668</v>
      </c>
      <c r="AB7" s="9" t="str">
        <f t="shared" si="10"/>
        <v>Late</v>
      </c>
      <c r="AC7" s="9" t="str">
        <f t="shared" si="11"/>
        <v>No Delay</v>
      </c>
      <c r="AD7" s="64" t="str">
        <f t="shared" si="12"/>
        <v>Long (5+km)</v>
      </c>
    </row>
    <row r="8" spans="1:30" x14ac:dyDescent="0.3">
      <c r="A8" s="8" t="s">
        <v>46</v>
      </c>
      <c r="B8" s="9" t="s">
        <v>168</v>
      </c>
      <c r="C8" s="9" t="s">
        <v>597</v>
      </c>
      <c r="D8" s="9">
        <v>10</v>
      </c>
      <c r="E8" s="9" t="s">
        <v>536</v>
      </c>
      <c r="F8" s="9" t="s">
        <v>606</v>
      </c>
      <c r="G8" s="10">
        <v>0.78888888888888886</v>
      </c>
      <c r="H8" s="9" t="s">
        <v>30</v>
      </c>
      <c r="I8" s="9">
        <v>6.21</v>
      </c>
      <c r="J8" s="9" t="s">
        <v>177</v>
      </c>
      <c r="K8" s="9">
        <v>194</v>
      </c>
      <c r="L8" s="9">
        <v>113</v>
      </c>
      <c r="M8" s="9" t="s">
        <v>22</v>
      </c>
      <c r="N8" s="9">
        <v>15</v>
      </c>
      <c r="O8" s="9" t="s">
        <v>23</v>
      </c>
      <c r="P8" s="9" t="s">
        <v>24</v>
      </c>
      <c r="Q8" s="9" t="str">
        <f t="shared" si="0"/>
        <v>Distance</v>
      </c>
      <c r="R8" s="9">
        <f t="shared" si="1"/>
        <v>56.999999999999957</v>
      </c>
      <c r="S8" s="9">
        <f t="shared" si="2"/>
        <v>2.9999999999998295</v>
      </c>
      <c r="T8" s="9">
        <f t="shared" si="3"/>
        <v>5.9999999999999787</v>
      </c>
      <c r="U8" s="9">
        <f t="shared" si="13"/>
        <v>38.000000000000028</v>
      </c>
      <c r="V8" s="9">
        <f t="shared" si="4"/>
        <v>18</v>
      </c>
      <c r="W8" s="9" t="str">
        <f t="shared" si="5"/>
        <v>Peak Night</v>
      </c>
      <c r="X8" s="9" t="str">
        <f t="shared" si="6"/>
        <v>Peak</v>
      </c>
      <c r="Y8" s="23">
        <f t="shared" si="7"/>
        <v>0.16342105263157883</v>
      </c>
      <c r="Z8" s="23">
        <f t="shared" si="8"/>
        <v>18.196457326892109</v>
      </c>
      <c r="AA8" s="23">
        <f t="shared" si="9"/>
        <v>0.58247422680412375</v>
      </c>
      <c r="AB8" s="9" t="str">
        <f t="shared" si="10"/>
        <v>Late</v>
      </c>
      <c r="AC8" s="9" t="str">
        <f t="shared" si="11"/>
        <v>No Delay</v>
      </c>
      <c r="AD8" s="64" t="str">
        <f t="shared" si="12"/>
        <v>Long (5+km)</v>
      </c>
    </row>
    <row r="9" spans="1:30" x14ac:dyDescent="0.3">
      <c r="A9" s="8" t="s">
        <v>50</v>
      </c>
      <c r="B9" s="9" t="s">
        <v>396</v>
      </c>
      <c r="C9" s="9" t="s">
        <v>597</v>
      </c>
      <c r="D9" s="9">
        <v>20</v>
      </c>
      <c r="E9" s="9" t="s">
        <v>684</v>
      </c>
      <c r="F9" s="9" t="s">
        <v>684</v>
      </c>
      <c r="G9" s="10">
        <v>0.82708333333333328</v>
      </c>
      <c r="H9" s="9" t="s">
        <v>141</v>
      </c>
      <c r="I9" s="9">
        <v>4.07</v>
      </c>
      <c r="J9" s="9" t="s">
        <v>40</v>
      </c>
      <c r="K9" s="9">
        <v>283</v>
      </c>
      <c r="L9" s="9">
        <v>96</v>
      </c>
      <c r="M9" s="9" t="s">
        <v>22</v>
      </c>
      <c r="N9" s="9">
        <v>10</v>
      </c>
      <c r="O9" s="9" t="s">
        <v>34</v>
      </c>
      <c r="P9" s="9" t="s">
        <v>24</v>
      </c>
      <c r="Q9" s="9" t="str">
        <f t="shared" si="0"/>
        <v>Traffic</v>
      </c>
      <c r="R9" s="9">
        <f t="shared" si="1"/>
        <v>57.999999999999957</v>
      </c>
      <c r="S9" s="9">
        <f t="shared" si="2"/>
        <v>0</v>
      </c>
      <c r="T9" s="9">
        <f t="shared" si="3"/>
        <v>9.9999999999999645</v>
      </c>
      <c r="U9" s="9">
        <f t="shared" si="13"/>
        <v>28.00000000000006</v>
      </c>
      <c r="V9" s="9">
        <f t="shared" si="4"/>
        <v>19</v>
      </c>
      <c r="W9" s="9" t="str">
        <f t="shared" si="5"/>
        <v>Peak Night</v>
      </c>
      <c r="X9" s="9" t="str">
        <f t="shared" si="6"/>
        <v>Peak</v>
      </c>
      <c r="Y9" s="23">
        <f t="shared" si="7"/>
        <v>0.14535714285714255</v>
      </c>
      <c r="Z9" s="23">
        <f t="shared" si="8"/>
        <v>23.587223587223587</v>
      </c>
      <c r="AA9" s="23">
        <f t="shared" si="9"/>
        <v>0.33922261484098942</v>
      </c>
      <c r="AB9" s="9" t="str">
        <f t="shared" si="10"/>
        <v>Late</v>
      </c>
      <c r="AC9" s="9" t="str">
        <f t="shared" si="11"/>
        <v>No Delay</v>
      </c>
      <c r="AD9" s="64" t="str">
        <f t="shared" si="12"/>
        <v>Medium (2-5km)</v>
      </c>
    </row>
    <row r="10" spans="1:30" x14ac:dyDescent="0.3">
      <c r="A10" s="8" t="s">
        <v>56</v>
      </c>
      <c r="B10" s="9" t="s">
        <v>84</v>
      </c>
      <c r="C10" s="9" t="s">
        <v>597</v>
      </c>
      <c r="D10" s="9">
        <v>10</v>
      </c>
      <c r="E10" s="9" t="s">
        <v>51</v>
      </c>
      <c r="F10" s="9" t="s">
        <v>98</v>
      </c>
      <c r="G10" s="10">
        <v>0.6923611111111112</v>
      </c>
      <c r="H10" s="9" t="s">
        <v>486</v>
      </c>
      <c r="I10" s="9">
        <v>3.16</v>
      </c>
      <c r="J10" s="9" t="s">
        <v>118</v>
      </c>
      <c r="K10" s="9">
        <v>193</v>
      </c>
      <c r="L10" s="9">
        <v>76</v>
      </c>
      <c r="M10" s="9" t="s">
        <v>22</v>
      </c>
      <c r="N10" s="9">
        <v>18</v>
      </c>
      <c r="O10" s="9" t="s">
        <v>55</v>
      </c>
      <c r="P10" s="9" t="s">
        <v>24</v>
      </c>
      <c r="Q10" s="9" t="str">
        <f t="shared" si="0"/>
        <v>None</v>
      </c>
      <c r="R10" s="9">
        <f t="shared" si="1"/>
        <v>34.999999999999872</v>
      </c>
      <c r="S10" s="9">
        <f t="shared" si="2"/>
        <v>3.0000000000001492</v>
      </c>
      <c r="T10" s="9">
        <f t="shared" si="3"/>
        <v>4.9999999999999822</v>
      </c>
      <c r="U10" s="9">
        <f t="shared" si="13"/>
        <v>16.99999999999978</v>
      </c>
      <c r="V10" s="9">
        <f t="shared" si="4"/>
        <v>16</v>
      </c>
      <c r="W10" s="9" t="str">
        <f t="shared" si="5"/>
        <v>Evening</v>
      </c>
      <c r="X10" s="9" t="str">
        <f t="shared" si="6"/>
        <v>Off-Peak</v>
      </c>
      <c r="Y10" s="23">
        <f t="shared" si="7"/>
        <v>0.18588235294117889</v>
      </c>
      <c r="Z10" s="23">
        <f t="shared" si="8"/>
        <v>24.050632911392405</v>
      </c>
      <c r="AA10" s="23">
        <f t="shared" si="9"/>
        <v>0.39378238341968913</v>
      </c>
      <c r="AB10" s="9" t="str">
        <f t="shared" si="10"/>
        <v>On-Time</v>
      </c>
      <c r="AC10" s="9" t="str">
        <f t="shared" si="11"/>
        <v>No Delay</v>
      </c>
      <c r="AD10" s="64" t="str">
        <f t="shared" si="12"/>
        <v>Medium (2-5km)</v>
      </c>
    </row>
    <row r="11" spans="1:30" x14ac:dyDescent="0.3">
      <c r="A11" s="8" t="s">
        <v>60</v>
      </c>
      <c r="B11" s="9" t="s">
        <v>611</v>
      </c>
      <c r="C11" s="9" t="s">
        <v>597</v>
      </c>
      <c r="D11" s="9">
        <v>13</v>
      </c>
      <c r="E11" s="9" t="s">
        <v>226</v>
      </c>
      <c r="F11" s="9" t="s">
        <v>299</v>
      </c>
      <c r="G11" s="10">
        <v>0.58888888888888891</v>
      </c>
      <c r="H11" s="9" t="s">
        <v>234</v>
      </c>
      <c r="I11" s="9">
        <v>2.63</v>
      </c>
      <c r="J11" s="9" t="s">
        <v>177</v>
      </c>
      <c r="K11" s="9">
        <v>297</v>
      </c>
      <c r="L11" s="9">
        <v>80</v>
      </c>
      <c r="M11" s="9" t="s">
        <v>22</v>
      </c>
      <c r="N11" s="9">
        <v>16</v>
      </c>
      <c r="O11" s="9" t="s">
        <v>23</v>
      </c>
      <c r="P11" s="9" t="s">
        <v>24</v>
      </c>
      <c r="Q11" s="9" t="str">
        <f t="shared" si="0"/>
        <v>None</v>
      </c>
      <c r="R11" s="9">
        <f t="shared" si="1"/>
        <v>43.999999999999844</v>
      </c>
      <c r="S11" s="9">
        <f t="shared" si="2"/>
        <v>1.9999999999999929</v>
      </c>
      <c r="T11" s="9">
        <f t="shared" si="3"/>
        <v>0.99999999999999645</v>
      </c>
      <c r="U11" s="9">
        <f t="shared" si="13"/>
        <v>27.999999999999901</v>
      </c>
      <c r="V11" s="9">
        <f t="shared" si="4"/>
        <v>13</v>
      </c>
      <c r="W11" s="9" t="str">
        <f t="shared" si="5"/>
        <v>Afternoon</v>
      </c>
      <c r="X11" s="9" t="str">
        <f t="shared" si="6"/>
        <v>Peak</v>
      </c>
      <c r="Y11" s="23">
        <f t="shared" si="7"/>
        <v>9.3928571428571764E-2</v>
      </c>
      <c r="Z11" s="23">
        <f t="shared" si="8"/>
        <v>30.418250950570343</v>
      </c>
      <c r="AA11" s="23">
        <f t="shared" si="9"/>
        <v>0.26936026936026936</v>
      </c>
      <c r="AB11" s="9" t="str">
        <f t="shared" si="10"/>
        <v>On-Time</v>
      </c>
      <c r="AC11" s="9" t="str">
        <f t="shared" si="11"/>
        <v>No Delay</v>
      </c>
      <c r="AD11" s="64" t="str">
        <f t="shared" si="12"/>
        <v>Medium (2-5km)</v>
      </c>
    </row>
    <row r="12" spans="1:30" x14ac:dyDescent="0.3">
      <c r="A12" s="8" t="s">
        <v>63</v>
      </c>
      <c r="B12" s="9" t="s">
        <v>656</v>
      </c>
      <c r="C12" s="9" t="s">
        <v>597</v>
      </c>
      <c r="D12" s="9">
        <v>20</v>
      </c>
      <c r="E12" s="9" t="s">
        <v>686</v>
      </c>
      <c r="F12" s="9" t="s">
        <v>686</v>
      </c>
      <c r="G12" s="10">
        <v>0.76111111111111118</v>
      </c>
      <c r="H12" s="9" t="s">
        <v>687</v>
      </c>
      <c r="I12" s="9">
        <v>7.7</v>
      </c>
      <c r="J12" s="9" t="s">
        <v>118</v>
      </c>
      <c r="K12" s="9">
        <v>369</v>
      </c>
      <c r="L12" s="9">
        <v>131</v>
      </c>
      <c r="M12" s="9" t="s">
        <v>22</v>
      </c>
      <c r="N12" s="9">
        <v>16</v>
      </c>
      <c r="O12" s="9" t="s">
        <v>23</v>
      </c>
      <c r="P12" s="9" t="s">
        <v>24</v>
      </c>
      <c r="Q12" s="9" t="str">
        <f t="shared" si="0"/>
        <v>Distance</v>
      </c>
      <c r="R12" s="9">
        <f t="shared" si="1"/>
        <v>74.000000000000057</v>
      </c>
      <c r="S12" s="9">
        <f t="shared" si="2"/>
        <v>0</v>
      </c>
      <c r="T12" s="9">
        <f t="shared" si="3"/>
        <v>5.9999999999999787</v>
      </c>
      <c r="U12" s="9">
        <f t="shared" si="13"/>
        <v>47.999999999999829</v>
      </c>
      <c r="V12" s="9">
        <f t="shared" si="4"/>
        <v>17</v>
      </c>
      <c r="W12" s="9" t="str">
        <f t="shared" si="5"/>
        <v>Evening</v>
      </c>
      <c r="X12" s="9" t="str">
        <f t="shared" si="6"/>
        <v>Peak</v>
      </c>
      <c r="Y12" s="23">
        <f t="shared" si="7"/>
        <v>0.16041666666666723</v>
      </c>
      <c r="Z12" s="23">
        <f t="shared" si="8"/>
        <v>17.012987012987011</v>
      </c>
      <c r="AA12" s="23">
        <f t="shared" si="9"/>
        <v>0.35501355013550134</v>
      </c>
      <c r="AB12" s="9" t="str">
        <f t="shared" si="10"/>
        <v>Late</v>
      </c>
      <c r="AC12" s="9" t="str">
        <f t="shared" si="11"/>
        <v>No Delay</v>
      </c>
      <c r="AD12" s="64" t="str">
        <f t="shared" si="12"/>
        <v>Long (5+km)</v>
      </c>
    </row>
    <row r="13" spans="1:30" x14ac:dyDescent="0.3">
      <c r="A13" s="8" t="s">
        <v>66</v>
      </c>
      <c r="B13" s="9" t="s">
        <v>193</v>
      </c>
      <c r="C13" s="9" t="s">
        <v>597</v>
      </c>
      <c r="D13" s="9">
        <v>18</v>
      </c>
      <c r="E13" s="9" t="s">
        <v>610</v>
      </c>
      <c r="F13" s="9" t="s">
        <v>106</v>
      </c>
      <c r="G13" s="10">
        <v>0.52361111111111114</v>
      </c>
      <c r="H13" s="9" t="s">
        <v>643</v>
      </c>
      <c r="I13" s="9">
        <v>7.65</v>
      </c>
      <c r="J13" s="9" t="s">
        <v>21</v>
      </c>
      <c r="K13" s="9">
        <v>295</v>
      </c>
      <c r="L13" s="9">
        <v>129</v>
      </c>
      <c r="M13" s="9" t="s">
        <v>22</v>
      </c>
      <c r="N13" s="9">
        <v>13</v>
      </c>
      <c r="O13" s="9" t="s">
        <v>23</v>
      </c>
      <c r="P13" s="9" t="s">
        <v>24</v>
      </c>
      <c r="Q13" s="9" t="str">
        <f t="shared" si="0"/>
        <v>Distance</v>
      </c>
      <c r="R13" s="9">
        <f t="shared" si="1"/>
        <v>74.000000000000057</v>
      </c>
      <c r="S13" s="9">
        <f t="shared" si="2"/>
        <v>2.9999999999999893</v>
      </c>
      <c r="T13" s="9">
        <f t="shared" si="3"/>
        <v>0.99999999999999645</v>
      </c>
      <c r="U13" s="9">
        <f t="shared" si="13"/>
        <v>51.999999999999972</v>
      </c>
      <c r="V13" s="9">
        <f t="shared" si="4"/>
        <v>12</v>
      </c>
      <c r="W13" s="9" t="str">
        <f t="shared" si="5"/>
        <v>Afternoon</v>
      </c>
      <c r="X13" s="9" t="str">
        <f t="shared" si="6"/>
        <v>Peak</v>
      </c>
      <c r="Y13" s="23">
        <f t="shared" si="7"/>
        <v>0.1471153846153847</v>
      </c>
      <c r="Z13" s="23">
        <f t="shared" si="8"/>
        <v>16.862745098039216</v>
      </c>
      <c r="AA13" s="23">
        <f t="shared" si="9"/>
        <v>0.43728813559322033</v>
      </c>
      <c r="AB13" s="9" t="str">
        <f t="shared" si="10"/>
        <v>Late</v>
      </c>
      <c r="AC13" s="9" t="str">
        <f t="shared" si="11"/>
        <v>No Delay</v>
      </c>
      <c r="AD13" s="64" t="str">
        <f t="shared" si="12"/>
        <v>Long (5+km)</v>
      </c>
    </row>
    <row r="14" spans="1:30" x14ac:dyDescent="0.3">
      <c r="A14" s="8" t="s">
        <v>70</v>
      </c>
      <c r="B14" s="9" t="s">
        <v>531</v>
      </c>
      <c r="C14" s="9" t="s">
        <v>597</v>
      </c>
      <c r="D14" s="9">
        <v>16</v>
      </c>
      <c r="E14" s="9" t="s">
        <v>408</v>
      </c>
      <c r="F14" s="9" t="s">
        <v>408</v>
      </c>
      <c r="G14" s="10">
        <v>0.57013888888888886</v>
      </c>
      <c r="H14" s="9" t="s">
        <v>112</v>
      </c>
      <c r="I14" s="9">
        <v>3.9</v>
      </c>
      <c r="J14" s="9" t="s">
        <v>90</v>
      </c>
      <c r="K14" s="9">
        <v>309</v>
      </c>
      <c r="L14" s="9">
        <v>91</v>
      </c>
      <c r="M14" s="9" t="s">
        <v>22</v>
      </c>
      <c r="N14" s="9">
        <v>15</v>
      </c>
      <c r="O14" s="9" t="s">
        <v>23</v>
      </c>
      <c r="P14" s="9" t="s">
        <v>24</v>
      </c>
      <c r="Q14" s="9" t="str">
        <f t="shared" si="0"/>
        <v>None</v>
      </c>
      <c r="R14" s="9">
        <f t="shared" si="1"/>
        <v>48.999999999999986</v>
      </c>
      <c r="S14" s="9">
        <f t="shared" si="2"/>
        <v>0</v>
      </c>
      <c r="T14" s="9">
        <f t="shared" si="3"/>
        <v>0.99999999999999645</v>
      </c>
      <c r="U14" s="9">
        <f t="shared" si="13"/>
        <v>32.000000000000043</v>
      </c>
      <c r="V14" s="9">
        <f t="shared" si="4"/>
        <v>13</v>
      </c>
      <c r="W14" s="9" t="str">
        <f t="shared" si="5"/>
        <v>Afternoon</v>
      </c>
      <c r="X14" s="9" t="str">
        <f t="shared" si="6"/>
        <v>Peak</v>
      </c>
      <c r="Y14" s="23">
        <f t="shared" si="7"/>
        <v>0.12187499999999983</v>
      </c>
      <c r="Z14" s="23">
        <f t="shared" si="8"/>
        <v>23.333333333333332</v>
      </c>
      <c r="AA14" s="23">
        <f t="shared" si="9"/>
        <v>0.29449838187702265</v>
      </c>
      <c r="AB14" s="9" t="str">
        <f t="shared" si="10"/>
        <v>Late</v>
      </c>
      <c r="AC14" s="9" t="str">
        <f>IF(P14="Yes",Q14,"No Delay")</f>
        <v>No Delay</v>
      </c>
      <c r="AD14" s="64" t="str">
        <f t="shared" si="12"/>
        <v>Medium (2-5km)</v>
      </c>
    </row>
    <row r="15" spans="1:30" x14ac:dyDescent="0.3">
      <c r="A15" s="8" t="s">
        <v>72</v>
      </c>
      <c r="B15" s="9" t="s">
        <v>603</v>
      </c>
      <c r="C15" s="9" t="s">
        <v>597</v>
      </c>
      <c r="D15" s="9">
        <v>10</v>
      </c>
      <c r="E15" s="9" t="s">
        <v>689</v>
      </c>
      <c r="F15" s="9" t="s">
        <v>97</v>
      </c>
      <c r="G15" s="10">
        <v>0.66388888888888886</v>
      </c>
      <c r="H15" s="9" t="s">
        <v>469</v>
      </c>
      <c r="I15" s="9">
        <v>2.2400000000000002</v>
      </c>
      <c r="J15" s="9" t="s">
        <v>21</v>
      </c>
      <c r="K15" s="9">
        <v>354</v>
      </c>
      <c r="L15" s="9">
        <v>72</v>
      </c>
      <c r="M15" s="9" t="s">
        <v>22</v>
      </c>
      <c r="N15" s="9">
        <v>16</v>
      </c>
      <c r="O15" s="9" t="s">
        <v>55</v>
      </c>
      <c r="P15" s="9" t="s">
        <v>24</v>
      </c>
      <c r="Q15" s="9" t="str">
        <f t="shared" si="0"/>
        <v>None</v>
      </c>
      <c r="R15" s="9">
        <f t="shared" si="1"/>
        <v>33.999999999999879</v>
      </c>
      <c r="S15" s="9">
        <f t="shared" si="2"/>
        <v>0.99999999999999645</v>
      </c>
      <c r="T15" s="9">
        <f t="shared" si="3"/>
        <v>5.9999999999999787</v>
      </c>
      <c r="U15" s="9">
        <f t="shared" si="13"/>
        <v>16.99999999999994</v>
      </c>
      <c r="V15" s="9">
        <f t="shared" si="4"/>
        <v>15</v>
      </c>
      <c r="W15" s="9" t="str">
        <f t="shared" si="5"/>
        <v>Evening</v>
      </c>
      <c r="X15" s="9" t="str">
        <f t="shared" si="6"/>
        <v>Off-Peak</v>
      </c>
      <c r="Y15" s="23">
        <f t="shared" si="7"/>
        <v>0.13176470588235342</v>
      </c>
      <c r="Z15" s="23">
        <f t="shared" si="8"/>
        <v>32.142857142857139</v>
      </c>
      <c r="AA15" s="23">
        <f t="shared" si="9"/>
        <v>0.20338983050847459</v>
      </c>
      <c r="AB15" s="9" t="str">
        <f t="shared" si="10"/>
        <v>On-Time</v>
      </c>
      <c r="AC15" s="9" t="str">
        <f t="shared" si="11"/>
        <v>No Delay</v>
      </c>
      <c r="AD15" s="64" t="str">
        <f t="shared" si="12"/>
        <v>Medium (2-5km)</v>
      </c>
    </row>
    <row r="16" spans="1:30" x14ac:dyDescent="0.3">
      <c r="A16" s="8" t="s">
        <v>79</v>
      </c>
      <c r="B16" s="9" t="s">
        <v>64</v>
      </c>
      <c r="C16" s="9" t="s">
        <v>594</v>
      </c>
      <c r="D16" s="9">
        <v>27</v>
      </c>
      <c r="E16" s="9" t="s">
        <v>371</v>
      </c>
      <c r="F16" s="9" t="s">
        <v>326</v>
      </c>
      <c r="G16" s="10">
        <v>0.62430555555555556</v>
      </c>
      <c r="H16" s="9" t="s">
        <v>602</v>
      </c>
      <c r="I16" s="9">
        <v>4.17</v>
      </c>
      <c r="J16" s="9" t="s">
        <v>90</v>
      </c>
      <c r="K16" s="9">
        <v>178</v>
      </c>
      <c r="L16" s="9">
        <v>86</v>
      </c>
      <c r="M16" s="9" t="s">
        <v>22</v>
      </c>
      <c r="N16" s="9">
        <v>15</v>
      </c>
      <c r="O16" s="9" t="s">
        <v>55</v>
      </c>
      <c r="P16" s="9" t="s">
        <v>24</v>
      </c>
      <c r="Q16" s="9" t="str">
        <f t="shared" si="0"/>
        <v>Restaurant Delay</v>
      </c>
      <c r="R16" s="9">
        <f t="shared" si="1"/>
        <v>61.000000000000099</v>
      </c>
      <c r="S16" s="9">
        <f t="shared" si="2"/>
        <v>6.9999999999999751</v>
      </c>
      <c r="T16" s="9">
        <f t="shared" si="3"/>
        <v>3.9999999999999858</v>
      </c>
      <c r="U16" s="9">
        <f t="shared" si="13"/>
        <v>23.000000000000078</v>
      </c>
      <c r="V16" s="9">
        <f t="shared" si="4"/>
        <v>14</v>
      </c>
      <c r="W16" s="9" t="str">
        <f t="shared" si="5"/>
        <v>Afternoon</v>
      </c>
      <c r="X16" s="9" t="str">
        <f t="shared" si="6"/>
        <v>Off-Peak</v>
      </c>
      <c r="Y16" s="23">
        <f t="shared" si="7"/>
        <v>0.18130434782608634</v>
      </c>
      <c r="Z16" s="23">
        <f t="shared" si="8"/>
        <v>20.623501199040767</v>
      </c>
      <c r="AA16" s="23">
        <f t="shared" si="9"/>
        <v>0.48314606741573035</v>
      </c>
      <c r="AB16" s="9" t="str">
        <f t="shared" si="10"/>
        <v>Late</v>
      </c>
      <c r="AC16" s="9" t="str">
        <f t="shared" si="11"/>
        <v>No Delay</v>
      </c>
      <c r="AD16" s="64" t="str">
        <f t="shared" si="12"/>
        <v>Medium (2-5km)</v>
      </c>
    </row>
    <row r="17" spans="1:30" x14ac:dyDescent="0.3">
      <c r="A17" s="8" t="s">
        <v>83</v>
      </c>
      <c r="B17" s="9" t="s">
        <v>382</v>
      </c>
      <c r="C17" s="9" t="s">
        <v>597</v>
      </c>
      <c r="D17" s="9">
        <v>11</v>
      </c>
      <c r="E17" s="9" t="s">
        <v>529</v>
      </c>
      <c r="F17" s="9" t="s">
        <v>361</v>
      </c>
      <c r="G17" s="10">
        <v>0.55694444444444446</v>
      </c>
      <c r="H17" s="9" t="s">
        <v>655</v>
      </c>
      <c r="I17" s="9">
        <v>2.79</v>
      </c>
      <c r="J17" s="9" t="s">
        <v>211</v>
      </c>
      <c r="K17" s="9">
        <v>315</v>
      </c>
      <c r="L17" s="9">
        <v>78</v>
      </c>
      <c r="M17" s="9" t="s">
        <v>22</v>
      </c>
      <c r="N17" s="9">
        <v>13</v>
      </c>
      <c r="O17" s="9" t="s">
        <v>23</v>
      </c>
      <c r="P17" s="9" t="s">
        <v>24</v>
      </c>
      <c r="Q17" s="9" t="str">
        <f t="shared" si="0"/>
        <v>None</v>
      </c>
      <c r="R17" s="9">
        <f t="shared" si="1"/>
        <v>37.999999999999865</v>
      </c>
      <c r="S17" s="9">
        <f t="shared" si="2"/>
        <v>0.99999999999999645</v>
      </c>
      <c r="T17" s="9">
        <f t="shared" si="3"/>
        <v>0.99999999999999645</v>
      </c>
      <c r="U17" s="9">
        <f t="shared" si="13"/>
        <v>24.999999999999911</v>
      </c>
      <c r="V17" s="9">
        <f t="shared" si="4"/>
        <v>13</v>
      </c>
      <c r="W17" s="9" t="str">
        <f t="shared" si="5"/>
        <v>Afternoon</v>
      </c>
      <c r="X17" s="9" t="str">
        <f t="shared" si="6"/>
        <v>Peak</v>
      </c>
      <c r="Y17" s="23">
        <f t="shared" si="7"/>
        <v>0.11160000000000039</v>
      </c>
      <c r="Z17" s="23">
        <f t="shared" si="8"/>
        <v>27.956989247311828</v>
      </c>
      <c r="AA17" s="23">
        <f t="shared" si="9"/>
        <v>0.24761904761904763</v>
      </c>
      <c r="AB17" s="9" t="str">
        <f t="shared" si="10"/>
        <v>On-Time</v>
      </c>
      <c r="AC17" s="9" t="str">
        <f t="shared" si="11"/>
        <v>No Delay</v>
      </c>
      <c r="AD17" s="64" t="str">
        <f t="shared" si="12"/>
        <v>Medium (2-5km)</v>
      </c>
    </row>
    <row r="18" spans="1:30" x14ac:dyDescent="0.3">
      <c r="A18" s="8" t="s">
        <v>85</v>
      </c>
      <c r="B18" s="9" t="s">
        <v>652</v>
      </c>
      <c r="C18" s="9" t="s">
        <v>597</v>
      </c>
      <c r="D18" s="9">
        <v>17</v>
      </c>
      <c r="E18" s="9" t="s">
        <v>228</v>
      </c>
      <c r="F18" s="9" t="s">
        <v>455</v>
      </c>
      <c r="G18" s="10">
        <v>0.75624999999999998</v>
      </c>
      <c r="H18" s="9" t="s">
        <v>365</v>
      </c>
      <c r="I18" s="9">
        <v>1.17</v>
      </c>
      <c r="J18" s="9" t="s">
        <v>45</v>
      </c>
      <c r="K18" s="9">
        <v>353</v>
      </c>
      <c r="L18" s="9">
        <v>61</v>
      </c>
      <c r="M18" s="9" t="s">
        <v>22</v>
      </c>
      <c r="N18" s="9">
        <v>15</v>
      </c>
      <c r="O18" s="9" t="s">
        <v>23</v>
      </c>
      <c r="P18" s="9" t="s">
        <v>24</v>
      </c>
      <c r="Q18" s="9" t="str">
        <f t="shared" si="0"/>
        <v>None</v>
      </c>
      <c r="R18" s="9">
        <f t="shared" si="1"/>
        <v>37.000000000000028</v>
      </c>
      <c r="S18" s="9">
        <f t="shared" si="2"/>
        <v>2.9999999999998295</v>
      </c>
      <c r="T18" s="9">
        <f t="shared" si="3"/>
        <v>3.9999999999999858</v>
      </c>
      <c r="U18" s="9">
        <f t="shared" si="13"/>
        <v>13.000000000000114</v>
      </c>
      <c r="V18" s="9">
        <f t="shared" si="4"/>
        <v>17</v>
      </c>
      <c r="W18" s="9" t="str">
        <f t="shared" si="5"/>
        <v>Evening</v>
      </c>
      <c r="X18" s="9" t="str">
        <f t="shared" si="6"/>
        <v>Peak</v>
      </c>
      <c r="Y18" s="23">
        <f t="shared" si="7"/>
        <v>8.9999999999999206E-2</v>
      </c>
      <c r="Z18" s="23">
        <f t="shared" si="8"/>
        <v>52.136752136752143</v>
      </c>
      <c r="AA18" s="23">
        <f t="shared" si="9"/>
        <v>0.17280453257790368</v>
      </c>
      <c r="AB18" s="9" t="str">
        <f t="shared" si="10"/>
        <v>On-Time</v>
      </c>
      <c r="AC18" s="9" t="str">
        <f t="shared" si="11"/>
        <v>No Delay</v>
      </c>
      <c r="AD18" s="64" t="str">
        <f t="shared" si="12"/>
        <v>Short (0-2km)</v>
      </c>
    </row>
    <row r="19" spans="1:30" x14ac:dyDescent="0.3">
      <c r="A19" s="8" t="s">
        <v>91</v>
      </c>
      <c r="B19" s="9" t="s">
        <v>615</v>
      </c>
      <c r="C19" s="9" t="s">
        <v>594</v>
      </c>
      <c r="D19" s="9">
        <v>31</v>
      </c>
      <c r="E19" s="9" t="s">
        <v>326</v>
      </c>
      <c r="F19" s="9" t="s">
        <v>292</v>
      </c>
      <c r="G19" s="10">
        <v>0.62638888888888888</v>
      </c>
      <c r="H19" s="9" t="s">
        <v>630</v>
      </c>
      <c r="I19" s="9">
        <v>6.72</v>
      </c>
      <c r="J19" s="9" t="s">
        <v>65</v>
      </c>
      <c r="K19" s="9">
        <v>251</v>
      </c>
      <c r="L19" s="9">
        <v>115</v>
      </c>
      <c r="M19" s="9" t="s">
        <v>22</v>
      </c>
      <c r="N19" s="9">
        <v>19</v>
      </c>
      <c r="O19" s="9" t="s">
        <v>55</v>
      </c>
      <c r="P19" s="9" t="s">
        <v>24</v>
      </c>
      <c r="Q19" s="9" t="str">
        <f t="shared" si="0"/>
        <v>Restaurant Delay</v>
      </c>
      <c r="R19" s="9">
        <f t="shared" si="1"/>
        <v>79.000000000000043</v>
      </c>
      <c r="S19" s="9">
        <f t="shared" si="2"/>
        <v>4.9999999999999822</v>
      </c>
      <c r="T19" s="9">
        <f t="shared" si="3"/>
        <v>1.9999999999999929</v>
      </c>
      <c r="U19" s="9">
        <f t="shared" si="13"/>
        <v>41.000000000000014</v>
      </c>
      <c r="V19" s="9">
        <f t="shared" si="4"/>
        <v>14</v>
      </c>
      <c r="W19" s="9" t="str">
        <f t="shared" si="5"/>
        <v>Afternoon</v>
      </c>
      <c r="X19" s="9" t="str">
        <f t="shared" si="6"/>
        <v>Off-Peak</v>
      </c>
      <c r="Y19" s="23">
        <f t="shared" si="7"/>
        <v>0.16390243902439017</v>
      </c>
      <c r="Z19" s="23">
        <f t="shared" si="8"/>
        <v>17.113095238095237</v>
      </c>
      <c r="AA19" s="23">
        <f t="shared" si="9"/>
        <v>0.45816733067729082</v>
      </c>
      <c r="AB19" s="9" t="str">
        <f t="shared" si="10"/>
        <v>Late</v>
      </c>
      <c r="AC19" s="9" t="str">
        <f t="shared" si="11"/>
        <v>No Delay</v>
      </c>
      <c r="AD19" s="64" t="str">
        <f t="shared" si="12"/>
        <v>Long (5+km)</v>
      </c>
    </row>
    <row r="20" spans="1:30" x14ac:dyDescent="0.3">
      <c r="A20" s="8" t="s">
        <v>95</v>
      </c>
      <c r="B20" s="9" t="s">
        <v>690</v>
      </c>
      <c r="C20" s="9" t="s">
        <v>597</v>
      </c>
      <c r="D20" s="9">
        <v>12</v>
      </c>
      <c r="E20" s="9" t="s">
        <v>691</v>
      </c>
      <c r="F20" s="9" t="s">
        <v>267</v>
      </c>
      <c r="G20" s="10">
        <v>0.45277777777777778</v>
      </c>
      <c r="H20" s="9" t="s">
        <v>342</v>
      </c>
      <c r="I20" s="9">
        <v>4.54</v>
      </c>
      <c r="J20" s="9" t="s">
        <v>118</v>
      </c>
      <c r="K20" s="9">
        <v>206</v>
      </c>
      <c r="L20" s="9">
        <v>100</v>
      </c>
      <c r="M20" s="9" t="s">
        <v>22</v>
      </c>
      <c r="N20" s="9">
        <v>15</v>
      </c>
      <c r="O20" s="9" t="s">
        <v>23</v>
      </c>
      <c r="P20" s="9" t="s">
        <v>24</v>
      </c>
      <c r="Q20" s="9" t="str">
        <f t="shared" si="0"/>
        <v>None</v>
      </c>
      <c r="R20" s="9">
        <f t="shared" si="1"/>
        <v>54.00000000000005</v>
      </c>
      <c r="S20" s="9">
        <f t="shared" si="2"/>
        <v>2.9999999999999893</v>
      </c>
      <c r="T20" s="9">
        <f t="shared" si="3"/>
        <v>0.99999999999999645</v>
      </c>
      <c r="U20" s="9">
        <f t="shared" si="13"/>
        <v>38.000000000000028</v>
      </c>
      <c r="V20" s="9">
        <f t="shared" si="4"/>
        <v>10</v>
      </c>
      <c r="W20" s="9" t="str">
        <f t="shared" si="5"/>
        <v>Late Morning</v>
      </c>
      <c r="X20" s="9" t="str">
        <f t="shared" si="6"/>
        <v>Off-Peak</v>
      </c>
      <c r="Y20" s="23">
        <f t="shared" si="7"/>
        <v>0.11947368421052623</v>
      </c>
      <c r="Z20" s="23">
        <f t="shared" si="8"/>
        <v>22.026431718061673</v>
      </c>
      <c r="AA20" s="23">
        <f t="shared" si="9"/>
        <v>0.4854368932038835</v>
      </c>
      <c r="AB20" s="9" t="str">
        <f t="shared" si="10"/>
        <v>Late</v>
      </c>
      <c r="AC20" s="9" t="str">
        <f t="shared" si="11"/>
        <v>No Delay</v>
      </c>
      <c r="AD20" s="64" t="str">
        <f t="shared" si="12"/>
        <v>Medium (2-5km)</v>
      </c>
    </row>
    <row r="21" spans="1:30" x14ac:dyDescent="0.3">
      <c r="A21" s="8" t="s">
        <v>100</v>
      </c>
      <c r="B21" s="9" t="s">
        <v>659</v>
      </c>
      <c r="C21" s="9" t="s">
        <v>597</v>
      </c>
      <c r="D21" s="9">
        <v>20</v>
      </c>
      <c r="E21" s="9" t="s">
        <v>692</v>
      </c>
      <c r="F21" s="9" t="s">
        <v>662</v>
      </c>
      <c r="G21" s="10">
        <v>0.75347222222222221</v>
      </c>
      <c r="H21" s="9" t="s">
        <v>88</v>
      </c>
      <c r="I21" s="9">
        <v>5.72</v>
      </c>
      <c r="J21" s="9" t="s">
        <v>99</v>
      </c>
      <c r="K21" s="9">
        <v>259</v>
      </c>
      <c r="L21" s="9">
        <v>110</v>
      </c>
      <c r="M21" s="9" t="s">
        <v>22</v>
      </c>
      <c r="N21" s="9">
        <v>12</v>
      </c>
      <c r="O21" s="9" t="s">
        <v>23</v>
      </c>
      <c r="P21" s="9" t="s">
        <v>24</v>
      </c>
      <c r="Q21" s="9" t="str">
        <f t="shared" si="0"/>
        <v>None</v>
      </c>
      <c r="R21" s="9">
        <f t="shared" si="1"/>
        <v>64.999999999999929</v>
      </c>
      <c r="S21" s="9">
        <f t="shared" si="2"/>
        <v>1.9999999999999929</v>
      </c>
      <c r="T21" s="9">
        <f t="shared" si="3"/>
        <v>1.9999999999999929</v>
      </c>
      <c r="U21" s="9">
        <f t="shared" si="13"/>
        <v>41.000000000000014</v>
      </c>
      <c r="V21" s="9">
        <f t="shared" si="4"/>
        <v>17</v>
      </c>
      <c r="W21" s="9" t="str">
        <f t="shared" si="5"/>
        <v>Evening</v>
      </c>
      <c r="X21" s="9" t="str">
        <f t="shared" si="6"/>
        <v>Peak</v>
      </c>
      <c r="Y21" s="23">
        <f t="shared" si="7"/>
        <v>0.13951219512195118</v>
      </c>
      <c r="Z21" s="23">
        <f t="shared" si="8"/>
        <v>19.23076923076923</v>
      </c>
      <c r="AA21" s="23">
        <f t="shared" si="9"/>
        <v>0.42471042471042469</v>
      </c>
      <c r="AB21" s="9" t="str">
        <f t="shared" si="10"/>
        <v>Late</v>
      </c>
      <c r="AC21" s="9" t="str">
        <f t="shared" si="11"/>
        <v>No Delay</v>
      </c>
      <c r="AD21" s="64" t="str">
        <f t="shared" si="12"/>
        <v>Long (5+km)</v>
      </c>
    </row>
    <row r="22" spans="1:30" x14ac:dyDescent="0.3">
      <c r="A22" s="8" t="s">
        <v>104</v>
      </c>
      <c r="B22" s="9" t="s">
        <v>693</v>
      </c>
      <c r="C22" s="9" t="s">
        <v>594</v>
      </c>
      <c r="D22" s="9">
        <v>31</v>
      </c>
      <c r="E22" s="9" t="s">
        <v>156</v>
      </c>
      <c r="F22" s="9" t="s">
        <v>171</v>
      </c>
      <c r="G22" s="10">
        <v>0.65555555555555556</v>
      </c>
      <c r="H22" s="9" t="s">
        <v>694</v>
      </c>
      <c r="I22" s="9">
        <v>1.5</v>
      </c>
      <c r="J22" s="9" t="s">
        <v>211</v>
      </c>
      <c r="K22" s="9">
        <v>390</v>
      </c>
      <c r="L22" s="9">
        <v>62</v>
      </c>
      <c r="M22" s="9" t="s">
        <v>22</v>
      </c>
      <c r="N22" s="9">
        <v>15</v>
      </c>
      <c r="O22" s="9" t="s">
        <v>55</v>
      </c>
      <c r="P22" s="9" t="s">
        <v>24</v>
      </c>
      <c r="Q22" s="9" t="str">
        <f t="shared" si="0"/>
        <v>Restaurant Delay</v>
      </c>
      <c r="R22" s="9">
        <f t="shared" si="1"/>
        <v>51.999999999999972</v>
      </c>
      <c r="S22" s="9">
        <f t="shared" si="2"/>
        <v>4.9999999999999822</v>
      </c>
      <c r="T22" s="9">
        <f t="shared" si="3"/>
        <v>2.9999999999999893</v>
      </c>
      <c r="U22" s="9">
        <f t="shared" si="13"/>
        <v>12.999999999999954</v>
      </c>
      <c r="V22" s="9">
        <f t="shared" si="4"/>
        <v>15</v>
      </c>
      <c r="W22" s="9" t="str">
        <f t="shared" si="5"/>
        <v>Evening</v>
      </c>
      <c r="X22" s="9" t="str">
        <f t="shared" si="6"/>
        <v>Off-Peak</v>
      </c>
      <c r="Y22" s="23">
        <f t="shared" si="7"/>
        <v>0.11538461538461579</v>
      </c>
      <c r="Z22" s="23">
        <f t="shared" si="8"/>
        <v>41.333333333333336</v>
      </c>
      <c r="AA22" s="23">
        <f t="shared" si="9"/>
        <v>0.15897435897435896</v>
      </c>
      <c r="AB22" s="9" t="str">
        <f t="shared" si="10"/>
        <v>Late</v>
      </c>
      <c r="AC22" s="9" t="str">
        <f t="shared" si="11"/>
        <v>No Delay</v>
      </c>
      <c r="AD22" s="64" t="str">
        <f t="shared" si="12"/>
        <v>Short (0-2km)</v>
      </c>
    </row>
    <row r="23" spans="1:30" x14ac:dyDescent="0.3">
      <c r="A23" s="8" t="s">
        <v>107</v>
      </c>
      <c r="B23" s="9" t="s">
        <v>587</v>
      </c>
      <c r="C23" s="9" t="s">
        <v>597</v>
      </c>
      <c r="D23" s="9">
        <v>14</v>
      </c>
      <c r="E23" s="9" t="s">
        <v>74</v>
      </c>
      <c r="F23" s="9" t="s">
        <v>74</v>
      </c>
      <c r="G23" s="10">
        <v>0.54305555555555551</v>
      </c>
      <c r="H23" s="9" t="s">
        <v>695</v>
      </c>
      <c r="I23" s="9">
        <v>4.93</v>
      </c>
      <c r="J23" s="9" t="s">
        <v>69</v>
      </c>
      <c r="K23" s="9">
        <v>205</v>
      </c>
      <c r="L23" s="9">
        <v>99</v>
      </c>
      <c r="M23" s="9" t="s">
        <v>22</v>
      </c>
      <c r="N23" s="9">
        <v>13</v>
      </c>
      <c r="O23" s="9" t="s">
        <v>23</v>
      </c>
      <c r="P23" s="9" t="s">
        <v>24</v>
      </c>
      <c r="Q23" s="9" t="str">
        <f t="shared" si="0"/>
        <v>None</v>
      </c>
      <c r="R23" s="9">
        <f t="shared" si="1"/>
        <v>49.999999999999986</v>
      </c>
      <c r="S23" s="9">
        <f t="shared" si="2"/>
        <v>0</v>
      </c>
      <c r="T23" s="9">
        <f t="shared" si="3"/>
        <v>5.9999999999999787</v>
      </c>
      <c r="U23" s="9">
        <f t="shared" si="13"/>
        <v>30.000000000000053</v>
      </c>
      <c r="V23" s="9">
        <f t="shared" si="4"/>
        <v>12</v>
      </c>
      <c r="W23" s="9" t="str">
        <f t="shared" si="5"/>
        <v>Afternoon</v>
      </c>
      <c r="X23" s="9" t="str">
        <f t="shared" si="6"/>
        <v>Peak</v>
      </c>
      <c r="Y23" s="23">
        <f t="shared" si="7"/>
        <v>0.16433333333333303</v>
      </c>
      <c r="Z23" s="23">
        <f t="shared" si="8"/>
        <v>20.08113590263692</v>
      </c>
      <c r="AA23" s="23">
        <f t="shared" si="9"/>
        <v>0.48292682926829267</v>
      </c>
      <c r="AB23" s="9" t="str">
        <f t="shared" si="10"/>
        <v>Late</v>
      </c>
      <c r="AC23" s="9" t="str">
        <f t="shared" si="11"/>
        <v>No Delay</v>
      </c>
      <c r="AD23" s="64" t="str">
        <f t="shared" si="12"/>
        <v>Medium (2-5km)</v>
      </c>
    </row>
    <row r="24" spans="1:30" x14ac:dyDescent="0.3">
      <c r="A24" s="8" t="s">
        <v>111</v>
      </c>
      <c r="B24" s="9" t="s">
        <v>654</v>
      </c>
      <c r="C24" s="9" t="s">
        <v>597</v>
      </c>
      <c r="D24" s="9">
        <v>19</v>
      </c>
      <c r="E24" s="9" t="s">
        <v>686</v>
      </c>
      <c r="F24" s="9" t="s">
        <v>680</v>
      </c>
      <c r="G24" s="10">
        <v>0.76249999999999996</v>
      </c>
      <c r="H24" s="9" t="s">
        <v>218</v>
      </c>
      <c r="I24" s="9">
        <v>3.65</v>
      </c>
      <c r="J24" s="9" t="s">
        <v>126</v>
      </c>
      <c r="K24" s="9">
        <v>296</v>
      </c>
      <c r="L24" s="9">
        <v>86</v>
      </c>
      <c r="M24" s="9" t="s">
        <v>22</v>
      </c>
      <c r="N24" s="9">
        <v>16</v>
      </c>
      <c r="O24" s="9" t="s">
        <v>23</v>
      </c>
      <c r="P24" s="9" t="s">
        <v>24</v>
      </c>
      <c r="Q24" s="9" t="str">
        <f t="shared" si="0"/>
        <v>None</v>
      </c>
      <c r="R24" s="9">
        <f t="shared" si="1"/>
        <v>50.999999999999979</v>
      </c>
      <c r="S24" s="9">
        <f t="shared" si="2"/>
        <v>1.999999999999833</v>
      </c>
      <c r="T24" s="9">
        <f t="shared" si="3"/>
        <v>5.9999999999999787</v>
      </c>
      <c r="U24" s="9">
        <f t="shared" si="13"/>
        <v>24.000000000000075</v>
      </c>
      <c r="V24" s="9">
        <f t="shared" si="4"/>
        <v>17</v>
      </c>
      <c r="W24" s="9" t="str">
        <f t="shared" si="5"/>
        <v>Evening</v>
      </c>
      <c r="X24" s="9" t="str">
        <f t="shared" si="6"/>
        <v>Peak</v>
      </c>
      <c r="Y24" s="23">
        <f t="shared" si="7"/>
        <v>0.15208333333333285</v>
      </c>
      <c r="Z24" s="23">
        <f t="shared" si="8"/>
        <v>23.56164383561644</v>
      </c>
      <c r="AA24" s="23">
        <f t="shared" si="9"/>
        <v>0.29054054054054052</v>
      </c>
      <c r="AB24" s="9" t="str">
        <f t="shared" si="10"/>
        <v>Late</v>
      </c>
      <c r="AC24" s="9" t="str">
        <f t="shared" si="11"/>
        <v>No Delay</v>
      </c>
      <c r="AD24" s="64" t="str">
        <f t="shared" si="12"/>
        <v>Medium (2-5km)</v>
      </c>
    </row>
    <row r="25" spans="1:30" x14ac:dyDescent="0.3">
      <c r="A25" s="8" t="s">
        <v>115</v>
      </c>
      <c r="B25" s="9" t="s">
        <v>303</v>
      </c>
      <c r="C25" s="9" t="s">
        <v>597</v>
      </c>
      <c r="D25" s="9">
        <v>20</v>
      </c>
      <c r="E25" s="9" t="s">
        <v>671</v>
      </c>
      <c r="F25" s="9" t="s">
        <v>671</v>
      </c>
      <c r="G25" s="10">
        <v>0.57152777777777775</v>
      </c>
      <c r="H25" s="9" t="s">
        <v>243</v>
      </c>
      <c r="I25" s="9">
        <v>4.53</v>
      </c>
      <c r="J25" s="9" t="s">
        <v>40</v>
      </c>
      <c r="K25" s="9">
        <v>373</v>
      </c>
      <c r="L25" s="9">
        <v>97</v>
      </c>
      <c r="M25" s="9" t="s">
        <v>22</v>
      </c>
      <c r="N25" s="9">
        <v>15</v>
      </c>
      <c r="O25" s="9" t="s">
        <v>23</v>
      </c>
      <c r="P25" s="9" t="s">
        <v>24</v>
      </c>
      <c r="Q25" s="9" t="str">
        <f t="shared" si="0"/>
        <v>None</v>
      </c>
      <c r="R25" s="9">
        <f t="shared" si="1"/>
        <v>55.999999999999957</v>
      </c>
      <c r="S25" s="9">
        <f t="shared" si="2"/>
        <v>0</v>
      </c>
      <c r="T25" s="9">
        <f t="shared" si="3"/>
        <v>4.9999999999999822</v>
      </c>
      <c r="U25" s="9">
        <f t="shared" si="13"/>
        <v>31.00000000000005</v>
      </c>
      <c r="V25" s="9">
        <f t="shared" si="4"/>
        <v>13</v>
      </c>
      <c r="W25" s="9" t="str">
        <f t="shared" si="5"/>
        <v>Afternoon</v>
      </c>
      <c r="X25" s="9" t="str">
        <f t="shared" si="6"/>
        <v>Peak</v>
      </c>
      <c r="Y25" s="23">
        <f t="shared" si="7"/>
        <v>0.14612903225806428</v>
      </c>
      <c r="Z25" s="23">
        <f t="shared" si="8"/>
        <v>21.41280353200883</v>
      </c>
      <c r="AA25" s="23">
        <f t="shared" si="9"/>
        <v>0.26005361930294907</v>
      </c>
      <c r="AB25" s="9" t="str">
        <f t="shared" si="10"/>
        <v>Late</v>
      </c>
      <c r="AC25" s="9" t="str">
        <f t="shared" si="11"/>
        <v>No Delay</v>
      </c>
      <c r="AD25" s="64" t="str">
        <f t="shared" si="12"/>
        <v>Medium (2-5km)</v>
      </c>
    </row>
    <row r="26" spans="1:30" x14ac:dyDescent="0.3">
      <c r="A26" s="8" t="s">
        <v>119</v>
      </c>
      <c r="B26" s="9" t="s">
        <v>371</v>
      </c>
      <c r="C26" s="9" t="s">
        <v>594</v>
      </c>
      <c r="D26" s="9">
        <v>31</v>
      </c>
      <c r="E26" s="9" t="s">
        <v>68</v>
      </c>
      <c r="F26" s="9" t="s">
        <v>155</v>
      </c>
      <c r="G26" s="10">
        <v>0.64444444444444449</v>
      </c>
      <c r="H26" s="9" t="s">
        <v>696</v>
      </c>
      <c r="I26" s="9">
        <v>6.48</v>
      </c>
      <c r="J26" s="9" t="s">
        <v>49</v>
      </c>
      <c r="K26" s="9">
        <v>218</v>
      </c>
      <c r="L26" s="9">
        <v>113</v>
      </c>
      <c r="M26" s="9" t="s">
        <v>22</v>
      </c>
      <c r="N26" s="9">
        <v>17</v>
      </c>
      <c r="O26" s="9" t="s">
        <v>55</v>
      </c>
      <c r="P26" s="9" t="s">
        <v>24</v>
      </c>
      <c r="Q26" s="9" t="str">
        <f t="shared" si="0"/>
        <v>Restaurant Delay</v>
      </c>
      <c r="R26" s="9">
        <f t="shared" si="1"/>
        <v>80.999999999999872</v>
      </c>
      <c r="S26" s="9">
        <f t="shared" si="2"/>
        <v>7.000000000000135</v>
      </c>
      <c r="T26" s="9">
        <f t="shared" si="3"/>
        <v>1.9999999999999929</v>
      </c>
      <c r="U26" s="9">
        <f t="shared" si="13"/>
        <v>40.999999999999858</v>
      </c>
      <c r="V26" s="9">
        <f t="shared" si="4"/>
        <v>14</v>
      </c>
      <c r="W26" s="9" t="str">
        <f t="shared" si="5"/>
        <v>Afternoon</v>
      </c>
      <c r="X26" s="9" t="str">
        <f t="shared" si="6"/>
        <v>Off-Peak</v>
      </c>
      <c r="Y26" s="23">
        <f t="shared" si="7"/>
        <v>0.15804878048780543</v>
      </c>
      <c r="Z26" s="23">
        <f t="shared" si="8"/>
        <v>17.438271604938272</v>
      </c>
      <c r="AA26" s="23">
        <f t="shared" si="9"/>
        <v>0.51834862385321101</v>
      </c>
      <c r="AB26" s="9" t="str">
        <f t="shared" si="10"/>
        <v>Late</v>
      </c>
      <c r="AC26" s="9" t="str">
        <f t="shared" si="11"/>
        <v>No Delay</v>
      </c>
      <c r="AD26" s="64" t="str">
        <f t="shared" si="12"/>
        <v>Long (5+km)</v>
      </c>
    </row>
    <row r="27" spans="1:30" x14ac:dyDescent="0.3">
      <c r="A27" s="8" t="s">
        <v>123</v>
      </c>
      <c r="B27" s="9" t="s">
        <v>202</v>
      </c>
      <c r="C27" s="9" t="s">
        <v>597</v>
      </c>
      <c r="D27" s="9">
        <v>15</v>
      </c>
      <c r="E27" s="9" t="s">
        <v>52</v>
      </c>
      <c r="F27" s="9" t="s">
        <v>697</v>
      </c>
      <c r="G27" s="10">
        <v>0.70069444444444451</v>
      </c>
      <c r="H27" s="9" t="s">
        <v>163</v>
      </c>
      <c r="I27" s="9">
        <v>4.3899999999999997</v>
      </c>
      <c r="J27" s="9" t="s">
        <v>65</v>
      </c>
      <c r="K27" s="9">
        <v>171</v>
      </c>
      <c r="L27" s="9">
        <v>92</v>
      </c>
      <c r="M27" s="9" t="s">
        <v>77</v>
      </c>
      <c r="N27" s="9">
        <v>20</v>
      </c>
      <c r="O27" s="9" t="s">
        <v>55</v>
      </c>
      <c r="P27" s="9" t="s">
        <v>78</v>
      </c>
      <c r="Q27" s="9" t="str">
        <f t="shared" si="0"/>
        <v>Restaurant Delay</v>
      </c>
      <c r="R27" s="9">
        <f t="shared" si="1"/>
        <v>48.000000000000149</v>
      </c>
      <c r="S27" s="9">
        <f t="shared" si="2"/>
        <v>1.0000000000001563</v>
      </c>
      <c r="T27" s="9">
        <f t="shared" si="3"/>
        <v>4.9999999999999822</v>
      </c>
      <c r="U27" s="9">
        <f t="shared" si="13"/>
        <v>26.999999999999904</v>
      </c>
      <c r="V27" s="9">
        <f t="shared" si="4"/>
        <v>16</v>
      </c>
      <c r="W27" s="9" t="str">
        <f t="shared" si="5"/>
        <v>Evening</v>
      </c>
      <c r="X27" s="9" t="str">
        <f t="shared" si="6"/>
        <v>Off-Peak</v>
      </c>
      <c r="Y27" s="23">
        <f t="shared" si="7"/>
        <v>0.16259259259259315</v>
      </c>
      <c r="Z27" s="23">
        <f t="shared" si="8"/>
        <v>20.956719817767656</v>
      </c>
      <c r="AA27" s="23">
        <f t="shared" si="9"/>
        <v>0.53801169590643272</v>
      </c>
      <c r="AB27" s="9" t="str">
        <f t="shared" si="10"/>
        <v>Late</v>
      </c>
      <c r="AC27" s="9" t="str">
        <f t="shared" si="11"/>
        <v>Restaurant Delay</v>
      </c>
      <c r="AD27" s="64" t="str">
        <f t="shared" si="12"/>
        <v>Medium (2-5km)</v>
      </c>
    </row>
    <row r="28" spans="1:30" x14ac:dyDescent="0.3">
      <c r="A28" s="8" t="s">
        <v>127</v>
      </c>
      <c r="B28" s="9" t="s">
        <v>181</v>
      </c>
      <c r="C28" s="9" t="s">
        <v>597</v>
      </c>
      <c r="D28" s="9">
        <v>18</v>
      </c>
      <c r="E28" s="9" t="s">
        <v>618</v>
      </c>
      <c r="F28" s="9" t="s">
        <v>619</v>
      </c>
      <c r="G28" s="10">
        <v>0.55347222222222225</v>
      </c>
      <c r="H28" s="9" t="s">
        <v>699</v>
      </c>
      <c r="I28" s="9">
        <v>6.31</v>
      </c>
      <c r="J28" s="9" t="s">
        <v>49</v>
      </c>
      <c r="K28" s="9">
        <v>237</v>
      </c>
      <c r="L28" s="9">
        <v>115</v>
      </c>
      <c r="M28" s="9" t="s">
        <v>22</v>
      </c>
      <c r="N28" s="9">
        <v>13</v>
      </c>
      <c r="O28" s="9" t="s">
        <v>23</v>
      </c>
      <c r="P28" s="9" t="s">
        <v>24</v>
      </c>
      <c r="Q28" s="9" t="str">
        <f t="shared" si="0"/>
        <v>Distance</v>
      </c>
      <c r="R28" s="9">
        <f t="shared" si="1"/>
        <v>65.000000000000085</v>
      </c>
      <c r="S28" s="9">
        <f t="shared" si="2"/>
        <v>1.9999999999999929</v>
      </c>
      <c r="T28" s="9">
        <f t="shared" si="3"/>
        <v>3.9999999999999858</v>
      </c>
      <c r="U28" s="9">
        <f t="shared" si="13"/>
        <v>41.000000000000014</v>
      </c>
      <c r="V28" s="9">
        <f t="shared" si="4"/>
        <v>12</v>
      </c>
      <c r="W28" s="9" t="str">
        <f t="shared" si="5"/>
        <v>Afternoon</v>
      </c>
      <c r="X28" s="9" t="str">
        <f t="shared" si="6"/>
        <v>Peak</v>
      </c>
      <c r="Y28" s="23">
        <f t="shared" si="7"/>
        <v>0.15390243902439019</v>
      </c>
      <c r="Z28" s="23">
        <f t="shared" si="8"/>
        <v>18.225039619651348</v>
      </c>
      <c r="AA28" s="23">
        <f t="shared" si="9"/>
        <v>0.48523206751054854</v>
      </c>
      <c r="AB28" s="9" t="str">
        <f t="shared" si="10"/>
        <v>Late</v>
      </c>
      <c r="AC28" s="9" t="str">
        <f t="shared" si="11"/>
        <v>No Delay</v>
      </c>
      <c r="AD28" s="64" t="str">
        <f t="shared" si="12"/>
        <v>Long (5+km)</v>
      </c>
    </row>
    <row r="29" spans="1:30" x14ac:dyDescent="0.3">
      <c r="A29" s="8" t="s">
        <v>130</v>
      </c>
      <c r="B29" s="9" t="s">
        <v>511</v>
      </c>
      <c r="C29" s="9" t="s">
        <v>597</v>
      </c>
      <c r="D29" s="9">
        <v>19</v>
      </c>
      <c r="E29" s="9" t="s">
        <v>468</v>
      </c>
      <c r="F29" s="9" t="s">
        <v>468</v>
      </c>
      <c r="G29" s="10">
        <v>0.63749999999999996</v>
      </c>
      <c r="H29" s="9" t="s">
        <v>156</v>
      </c>
      <c r="I29" s="9">
        <v>1.95</v>
      </c>
      <c r="J29" s="9" t="s">
        <v>62</v>
      </c>
      <c r="K29" s="9">
        <v>254</v>
      </c>
      <c r="L29" s="9">
        <v>67</v>
      </c>
      <c r="M29" s="9" t="s">
        <v>22</v>
      </c>
      <c r="N29" s="9">
        <v>20</v>
      </c>
      <c r="O29" s="9" t="s">
        <v>55</v>
      </c>
      <c r="P29" s="9" t="s">
        <v>24</v>
      </c>
      <c r="Q29" s="9" t="str">
        <f t="shared" si="0"/>
        <v>None</v>
      </c>
      <c r="R29" s="9">
        <f t="shared" si="1"/>
        <v>38.000000000000028</v>
      </c>
      <c r="S29" s="9">
        <f t="shared" si="2"/>
        <v>0</v>
      </c>
      <c r="T29" s="9">
        <f t="shared" si="3"/>
        <v>0.99999999999999645</v>
      </c>
      <c r="U29" s="9">
        <f t="shared" si="13"/>
        <v>18.000000000000096</v>
      </c>
      <c r="V29" s="9">
        <f t="shared" si="4"/>
        <v>14</v>
      </c>
      <c r="W29" s="9" t="str">
        <f t="shared" si="5"/>
        <v>Afternoon</v>
      </c>
      <c r="X29" s="9" t="str">
        <f t="shared" si="6"/>
        <v>Off-Peak</v>
      </c>
      <c r="Y29" s="23">
        <f t="shared" si="7"/>
        <v>0.10833333333333275</v>
      </c>
      <c r="Z29" s="23">
        <f t="shared" si="8"/>
        <v>34.358974358974358</v>
      </c>
      <c r="AA29" s="23">
        <f t="shared" si="9"/>
        <v>0.26377952755905509</v>
      </c>
      <c r="AB29" s="9" t="str">
        <f t="shared" si="10"/>
        <v>On-Time</v>
      </c>
      <c r="AC29" s="9" t="str">
        <f t="shared" si="11"/>
        <v>No Delay</v>
      </c>
      <c r="AD29" s="64" t="str">
        <f t="shared" si="12"/>
        <v>Short (0-2km)</v>
      </c>
    </row>
    <row r="30" spans="1:30" x14ac:dyDescent="0.3">
      <c r="A30" s="8" t="s">
        <v>132</v>
      </c>
      <c r="B30" s="9" t="s">
        <v>51</v>
      </c>
      <c r="C30" s="9" t="s">
        <v>597</v>
      </c>
      <c r="D30" s="9">
        <v>12</v>
      </c>
      <c r="E30" s="9" t="s">
        <v>700</v>
      </c>
      <c r="F30" s="9" t="s">
        <v>697</v>
      </c>
      <c r="G30" s="10">
        <v>0.69791666666666674</v>
      </c>
      <c r="H30" s="9" t="s">
        <v>676</v>
      </c>
      <c r="I30" s="9">
        <v>1.8</v>
      </c>
      <c r="J30" s="9" t="s">
        <v>69</v>
      </c>
      <c r="K30" s="9">
        <v>207</v>
      </c>
      <c r="L30" s="9">
        <v>65</v>
      </c>
      <c r="M30" s="9" t="s">
        <v>77</v>
      </c>
      <c r="N30" s="9">
        <v>16</v>
      </c>
      <c r="O30" s="9" t="s">
        <v>55</v>
      </c>
      <c r="P30" s="9" t="s">
        <v>78</v>
      </c>
      <c r="Q30" s="9" t="str">
        <f t="shared" si="0"/>
        <v>Restaurant Delay</v>
      </c>
      <c r="R30" s="9">
        <f t="shared" si="1"/>
        <v>33.000000000000043</v>
      </c>
      <c r="S30" s="9">
        <f t="shared" si="2"/>
        <v>3.0000000000001492</v>
      </c>
      <c r="T30" s="9">
        <f t="shared" si="3"/>
        <v>0.99999999999999645</v>
      </c>
      <c r="U30" s="9">
        <f t="shared" si="13"/>
        <v>16.99999999999994</v>
      </c>
      <c r="V30" s="9">
        <f t="shared" si="4"/>
        <v>16</v>
      </c>
      <c r="W30" s="9" t="str">
        <f t="shared" si="5"/>
        <v>Evening</v>
      </c>
      <c r="X30" s="9" t="str">
        <f t="shared" si="6"/>
        <v>Off-Peak</v>
      </c>
      <c r="Y30" s="23">
        <f t="shared" si="7"/>
        <v>0.10588235294117684</v>
      </c>
      <c r="Z30" s="23">
        <f t="shared" si="8"/>
        <v>36.111111111111107</v>
      </c>
      <c r="AA30" s="23">
        <f t="shared" si="9"/>
        <v>0.3140096618357488</v>
      </c>
      <c r="AB30" s="9" t="str">
        <f t="shared" si="10"/>
        <v>On-Time</v>
      </c>
      <c r="AC30" s="9" t="str">
        <f t="shared" si="11"/>
        <v>Restaurant Delay</v>
      </c>
      <c r="AD30" s="64" t="str">
        <f t="shared" si="12"/>
        <v>Short (0-2km)</v>
      </c>
    </row>
    <row r="31" spans="1:30" x14ac:dyDescent="0.3">
      <c r="A31" s="8" t="s">
        <v>133</v>
      </c>
      <c r="B31" s="9" t="s">
        <v>48</v>
      </c>
      <c r="C31" s="9" t="s">
        <v>597</v>
      </c>
      <c r="D31" s="9">
        <v>15</v>
      </c>
      <c r="E31" s="9" t="s">
        <v>701</v>
      </c>
      <c r="F31" s="9" t="s">
        <v>701</v>
      </c>
      <c r="G31" s="10">
        <v>0.48680555555555555</v>
      </c>
      <c r="H31" s="9" t="s">
        <v>682</v>
      </c>
      <c r="I31" s="9">
        <v>4.74</v>
      </c>
      <c r="J31" s="9" t="s">
        <v>49</v>
      </c>
      <c r="K31" s="9">
        <v>220</v>
      </c>
      <c r="L31" s="9">
        <v>101</v>
      </c>
      <c r="M31" s="9" t="s">
        <v>22</v>
      </c>
      <c r="N31" s="9">
        <v>14</v>
      </c>
      <c r="O31" s="9" t="s">
        <v>23</v>
      </c>
      <c r="P31" s="9" t="s">
        <v>24</v>
      </c>
      <c r="Q31" s="9" t="str">
        <f t="shared" si="0"/>
        <v>None</v>
      </c>
      <c r="R31" s="9">
        <f t="shared" si="1"/>
        <v>53.999999999999972</v>
      </c>
      <c r="S31" s="9">
        <f t="shared" si="2"/>
        <v>0</v>
      </c>
      <c r="T31" s="9">
        <f t="shared" si="3"/>
        <v>2.9999999999999893</v>
      </c>
      <c r="U31" s="9">
        <f t="shared" si="13"/>
        <v>35.99999999999995</v>
      </c>
      <c r="V31" s="9">
        <f t="shared" si="4"/>
        <v>11</v>
      </c>
      <c r="W31" s="9" t="str">
        <f t="shared" si="5"/>
        <v>Late Morning</v>
      </c>
      <c r="X31" s="9" t="str">
        <f t="shared" si="6"/>
        <v>Off-Peak</v>
      </c>
      <c r="Y31" s="23">
        <f t="shared" si="7"/>
        <v>0.13166666666666685</v>
      </c>
      <c r="Z31" s="23">
        <f t="shared" si="8"/>
        <v>21.308016877637129</v>
      </c>
      <c r="AA31" s="23">
        <f t="shared" si="9"/>
        <v>0.45909090909090911</v>
      </c>
      <c r="AB31" s="9" t="str">
        <f t="shared" si="10"/>
        <v>Late</v>
      </c>
      <c r="AC31" s="9" t="str">
        <f t="shared" si="11"/>
        <v>No Delay</v>
      </c>
      <c r="AD31" s="64" t="str">
        <f t="shared" si="12"/>
        <v>Medium (2-5km)</v>
      </c>
    </row>
    <row r="32" spans="1:30" x14ac:dyDescent="0.3">
      <c r="A32" s="8" t="s">
        <v>135</v>
      </c>
      <c r="B32" s="9" t="s">
        <v>305</v>
      </c>
      <c r="C32" s="9" t="s">
        <v>597</v>
      </c>
      <c r="D32" s="9">
        <v>10</v>
      </c>
      <c r="E32" s="9" t="s">
        <v>188</v>
      </c>
      <c r="F32" s="9" t="s">
        <v>165</v>
      </c>
      <c r="G32" s="10">
        <v>0.46180555555555552</v>
      </c>
      <c r="H32" s="9" t="s">
        <v>47</v>
      </c>
      <c r="I32" s="9">
        <v>1.1000000000000001</v>
      </c>
      <c r="J32" s="9" t="s">
        <v>99</v>
      </c>
      <c r="K32" s="9">
        <v>376</v>
      </c>
      <c r="L32" s="9">
        <v>66</v>
      </c>
      <c r="M32" s="9" t="s">
        <v>22</v>
      </c>
      <c r="N32" s="9">
        <v>16</v>
      </c>
      <c r="O32" s="9" t="s">
        <v>23</v>
      </c>
      <c r="P32" s="9" t="s">
        <v>24</v>
      </c>
      <c r="Q32" s="9" t="str">
        <f t="shared" si="0"/>
        <v>None</v>
      </c>
      <c r="R32" s="9">
        <f t="shared" si="1"/>
        <v>34.999999999999957</v>
      </c>
      <c r="S32" s="9">
        <f t="shared" si="2"/>
        <v>2.9999999999999893</v>
      </c>
      <c r="T32" s="9">
        <f t="shared" si="3"/>
        <v>5.9999999999999787</v>
      </c>
      <c r="U32" s="9">
        <f t="shared" si="13"/>
        <v>16.000000000000021</v>
      </c>
      <c r="V32" s="9">
        <f t="shared" si="4"/>
        <v>10</v>
      </c>
      <c r="W32" s="9" t="str">
        <f t="shared" si="5"/>
        <v>Late Morning</v>
      </c>
      <c r="X32" s="9" t="str">
        <f t="shared" si="6"/>
        <v>Off-Peak</v>
      </c>
      <c r="Y32" s="23">
        <f t="shared" si="7"/>
        <v>6.8749999999999908E-2</v>
      </c>
      <c r="Z32" s="23">
        <f t="shared" si="8"/>
        <v>59.999999999999993</v>
      </c>
      <c r="AA32" s="23">
        <f t="shared" si="9"/>
        <v>0.17553191489361702</v>
      </c>
      <c r="AB32" s="9" t="str">
        <f t="shared" si="10"/>
        <v>On-Time</v>
      </c>
      <c r="AC32" s="9" t="str">
        <f t="shared" si="11"/>
        <v>No Delay</v>
      </c>
      <c r="AD32" s="64" t="str">
        <f t="shared" si="12"/>
        <v>Short (0-2km)</v>
      </c>
    </row>
    <row r="33" spans="1:30" x14ac:dyDescent="0.3">
      <c r="A33" s="8" t="s">
        <v>138</v>
      </c>
      <c r="B33" s="9" t="s">
        <v>621</v>
      </c>
      <c r="C33" s="9" t="s">
        <v>597</v>
      </c>
      <c r="D33" s="9">
        <v>19</v>
      </c>
      <c r="E33" s="9" t="s">
        <v>702</v>
      </c>
      <c r="F33" s="9" t="s">
        <v>695</v>
      </c>
      <c r="G33" s="10">
        <v>0.56527777777777777</v>
      </c>
      <c r="H33" s="9" t="s">
        <v>495</v>
      </c>
      <c r="I33" s="9">
        <v>1.81</v>
      </c>
      <c r="J33" s="9" t="s">
        <v>49</v>
      </c>
      <c r="K33" s="9">
        <v>190</v>
      </c>
      <c r="L33" s="9">
        <v>69</v>
      </c>
      <c r="M33" s="9" t="s">
        <v>22</v>
      </c>
      <c r="N33" s="9">
        <v>15</v>
      </c>
      <c r="O33" s="9" t="s">
        <v>23</v>
      </c>
      <c r="P33" s="9" t="s">
        <v>24</v>
      </c>
      <c r="Q33" s="9" t="str">
        <f t="shared" si="0"/>
        <v>None</v>
      </c>
      <c r="R33" s="9">
        <f t="shared" si="1"/>
        <v>42.000000000000171</v>
      </c>
      <c r="S33" s="9">
        <f t="shared" si="2"/>
        <v>0.99999999999999645</v>
      </c>
      <c r="T33" s="9">
        <f t="shared" si="3"/>
        <v>1.9999999999999929</v>
      </c>
      <c r="U33" s="9">
        <f t="shared" si="13"/>
        <v>20.000000000000089</v>
      </c>
      <c r="V33" s="9">
        <f t="shared" si="4"/>
        <v>13</v>
      </c>
      <c r="W33" s="9" t="str">
        <f t="shared" si="5"/>
        <v>Afternoon</v>
      </c>
      <c r="X33" s="9" t="str">
        <f t="shared" si="6"/>
        <v>Peak</v>
      </c>
      <c r="Y33" s="23">
        <f t="shared" si="7"/>
        <v>9.0499999999999595E-2</v>
      </c>
      <c r="Z33" s="23">
        <f t="shared" si="8"/>
        <v>38.121546961325969</v>
      </c>
      <c r="AA33" s="23">
        <f t="shared" si="9"/>
        <v>0.36315789473684212</v>
      </c>
      <c r="AB33" s="9" t="str">
        <f t="shared" si="10"/>
        <v>On-Time</v>
      </c>
      <c r="AC33" s="9" t="str">
        <f t="shared" si="11"/>
        <v>No Delay</v>
      </c>
      <c r="AD33" s="64" t="str">
        <f t="shared" si="12"/>
        <v>Short (0-2km)</v>
      </c>
    </row>
    <row r="34" spans="1:30" x14ac:dyDescent="0.3">
      <c r="A34" s="8" t="s">
        <v>142</v>
      </c>
      <c r="B34" s="9" t="s">
        <v>703</v>
      </c>
      <c r="C34" s="9" t="s">
        <v>597</v>
      </c>
      <c r="D34" s="9">
        <v>16</v>
      </c>
      <c r="E34" s="9" t="s">
        <v>659</v>
      </c>
      <c r="F34" s="9" t="s">
        <v>681</v>
      </c>
      <c r="G34" s="10">
        <v>0.74236111111111103</v>
      </c>
      <c r="H34" s="9" t="s">
        <v>648</v>
      </c>
      <c r="I34" s="9">
        <v>7.36</v>
      </c>
      <c r="J34" s="9" t="s">
        <v>122</v>
      </c>
      <c r="K34" s="9">
        <v>332</v>
      </c>
      <c r="L34" s="9">
        <v>127</v>
      </c>
      <c r="M34" s="9" t="s">
        <v>22</v>
      </c>
      <c r="N34" s="9">
        <v>18</v>
      </c>
      <c r="O34" s="9" t="s">
        <v>23</v>
      </c>
      <c r="P34" s="9" t="s">
        <v>24</v>
      </c>
      <c r="Q34" s="9" t="str">
        <f t="shared" si="0"/>
        <v>Distance</v>
      </c>
      <c r="R34" s="9">
        <f t="shared" si="1"/>
        <v>69.999999999999744</v>
      </c>
      <c r="S34" s="9">
        <f t="shared" si="2"/>
        <v>1.999999999999833</v>
      </c>
      <c r="T34" s="9">
        <f t="shared" si="3"/>
        <v>5.9999999999999787</v>
      </c>
      <c r="U34" s="9">
        <f t="shared" si="13"/>
        <v>46</v>
      </c>
      <c r="V34" s="9">
        <f t="shared" si="4"/>
        <v>17</v>
      </c>
      <c r="W34" s="9" t="str">
        <f t="shared" si="5"/>
        <v>Evening</v>
      </c>
      <c r="X34" s="9" t="str">
        <f t="shared" si="6"/>
        <v>Peak</v>
      </c>
      <c r="Y34" s="23">
        <f t="shared" si="7"/>
        <v>0.16</v>
      </c>
      <c r="Z34" s="23">
        <f t="shared" si="8"/>
        <v>17.255434782608695</v>
      </c>
      <c r="AA34" s="23">
        <f t="shared" si="9"/>
        <v>0.38253012048192769</v>
      </c>
      <c r="AB34" s="9" t="str">
        <f t="shared" si="10"/>
        <v>Late</v>
      </c>
      <c r="AC34" s="9" t="str">
        <f t="shared" si="11"/>
        <v>No Delay</v>
      </c>
      <c r="AD34" s="64" t="str">
        <f t="shared" si="12"/>
        <v>Long (5+km)</v>
      </c>
    </row>
    <row r="35" spans="1:30" x14ac:dyDescent="0.3">
      <c r="A35" s="8" t="s">
        <v>145</v>
      </c>
      <c r="B35" s="9" t="s">
        <v>602</v>
      </c>
      <c r="C35" s="9" t="s">
        <v>594</v>
      </c>
      <c r="D35" s="9">
        <v>35</v>
      </c>
      <c r="E35" s="9" t="s">
        <v>694</v>
      </c>
      <c r="F35" s="9" t="s">
        <v>704</v>
      </c>
      <c r="G35" s="10">
        <v>0.67291666666666661</v>
      </c>
      <c r="H35" s="9" t="s">
        <v>503</v>
      </c>
      <c r="I35" s="9">
        <v>1.07</v>
      </c>
      <c r="J35" s="9" t="s">
        <v>76</v>
      </c>
      <c r="K35" s="9">
        <v>231</v>
      </c>
      <c r="L35" s="9">
        <v>55</v>
      </c>
      <c r="M35" s="9" t="s">
        <v>22</v>
      </c>
      <c r="N35" s="9">
        <v>15</v>
      </c>
      <c r="O35" s="9" t="s">
        <v>55</v>
      </c>
      <c r="P35" s="9" t="s">
        <v>24</v>
      </c>
      <c r="Q35" s="9" t="str">
        <f t="shared" si="0"/>
        <v>Restaurant Delay</v>
      </c>
      <c r="R35" s="9">
        <f t="shared" si="1"/>
        <v>53.999999999999808</v>
      </c>
      <c r="S35" s="9">
        <f t="shared" si="2"/>
        <v>6.9999999999999751</v>
      </c>
      <c r="T35" s="9">
        <f t="shared" si="3"/>
        <v>4.9999999999999822</v>
      </c>
      <c r="U35" s="9">
        <f t="shared" si="13"/>
        <v>6.9999999999999751</v>
      </c>
      <c r="V35" s="9">
        <f t="shared" si="4"/>
        <v>15</v>
      </c>
      <c r="W35" s="9" t="str">
        <f t="shared" si="5"/>
        <v>Evening</v>
      </c>
      <c r="X35" s="9" t="str">
        <f t="shared" si="6"/>
        <v>Off-Peak</v>
      </c>
      <c r="Y35" s="23">
        <f t="shared" si="7"/>
        <v>0.15285714285714341</v>
      </c>
      <c r="Z35" s="23">
        <f t="shared" si="8"/>
        <v>51.401869158878505</v>
      </c>
      <c r="AA35" s="23">
        <f t="shared" si="9"/>
        <v>0.23809523809523808</v>
      </c>
      <c r="AB35" s="9" t="str">
        <f t="shared" si="10"/>
        <v>Late</v>
      </c>
      <c r="AC35" s="9" t="str">
        <f t="shared" si="11"/>
        <v>No Delay</v>
      </c>
      <c r="AD35" s="64" t="str">
        <f t="shared" si="12"/>
        <v>Short (0-2km)</v>
      </c>
    </row>
    <row r="36" spans="1:30" x14ac:dyDescent="0.3">
      <c r="A36" s="8" t="s">
        <v>148</v>
      </c>
      <c r="B36" s="9" t="s">
        <v>508</v>
      </c>
      <c r="C36" s="9" t="s">
        <v>597</v>
      </c>
      <c r="D36" s="9">
        <v>11</v>
      </c>
      <c r="E36" s="9" t="s">
        <v>601</v>
      </c>
      <c r="F36" s="9" t="s">
        <v>486</v>
      </c>
      <c r="G36" s="10">
        <v>0.70555555555555549</v>
      </c>
      <c r="H36" s="9" t="s">
        <v>659</v>
      </c>
      <c r="I36" s="9">
        <v>7.79</v>
      </c>
      <c r="J36" s="9" t="s">
        <v>90</v>
      </c>
      <c r="K36" s="9">
        <v>205</v>
      </c>
      <c r="L36" s="9">
        <v>124</v>
      </c>
      <c r="M36" s="9" t="s">
        <v>22</v>
      </c>
      <c r="N36" s="9">
        <v>15</v>
      </c>
      <c r="O36" s="9" t="s">
        <v>55</v>
      </c>
      <c r="P36" s="9" t="s">
        <v>24</v>
      </c>
      <c r="Q36" s="9" t="str">
        <f t="shared" si="0"/>
        <v>Distance</v>
      </c>
      <c r="R36" s="9">
        <f t="shared" si="1"/>
        <v>60.999999999999943</v>
      </c>
      <c r="S36" s="9">
        <f t="shared" si="2"/>
        <v>2.9999999999998295</v>
      </c>
      <c r="T36" s="9">
        <f t="shared" si="3"/>
        <v>1.9999999999999929</v>
      </c>
      <c r="U36" s="9">
        <f t="shared" si="13"/>
        <v>45.000000000000156</v>
      </c>
      <c r="V36" s="9">
        <f t="shared" si="4"/>
        <v>16</v>
      </c>
      <c r="W36" s="9" t="str">
        <f t="shared" si="5"/>
        <v>Evening</v>
      </c>
      <c r="X36" s="9" t="str">
        <f t="shared" si="6"/>
        <v>Off-Peak</v>
      </c>
      <c r="Y36" s="23">
        <f t="shared" si="7"/>
        <v>0.17311111111111052</v>
      </c>
      <c r="Z36" s="23">
        <f t="shared" si="8"/>
        <v>15.917843388960206</v>
      </c>
      <c r="AA36" s="23">
        <f t="shared" si="9"/>
        <v>0.60487804878048779</v>
      </c>
      <c r="AB36" s="9" t="str">
        <f t="shared" si="10"/>
        <v>Late</v>
      </c>
      <c r="AC36" s="9" t="str">
        <f t="shared" si="11"/>
        <v>No Delay</v>
      </c>
      <c r="AD36" s="64" t="str">
        <f t="shared" si="12"/>
        <v>Long (5+km)</v>
      </c>
    </row>
    <row r="37" spans="1:30" x14ac:dyDescent="0.3">
      <c r="A37" s="8" t="s">
        <v>151</v>
      </c>
      <c r="B37" s="9" t="s">
        <v>81</v>
      </c>
      <c r="C37" s="9" t="s">
        <v>597</v>
      </c>
      <c r="D37" s="9">
        <v>17</v>
      </c>
      <c r="E37" s="9" t="s">
        <v>344</v>
      </c>
      <c r="F37" s="9" t="s">
        <v>641</v>
      </c>
      <c r="G37" s="10">
        <v>0.8208333333333333</v>
      </c>
      <c r="H37" s="9" t="s">
        <v>622</v>
      </c>
      <c r="I37" s="9">
        <v>2.2799999999999998</v>
      </c>
      <c r="J37" s="9" t="s">
        <v>177</v>
      </c>
      <c r="K37" s="9">
        <v>213</v>
      </c>
      <c r="L37" s="9">
        <v>81</v>
      </c>
      <c r="M37" s="9" t="s">
        <v>22</v>
      </c>
      <c r="N37" s="9">
        <v>10</v>
      </c>
      <c r="O37" s="9" t="s">
        <v>34</v>
      </c>
      <c r="P37" s="9" t="s">
        <v>24</v>
      </c>
      <c r="Q37" s="9" t="str">
        <f t="shared" si="0"/>
        <v>Traffic</v>
      </c>
      <c r="R37" s="9">
        <f t="shared" si="1"/>
        <v>49.999999999999822</v>
      </c>
      <c r="S37" s="9">
        <f t="shared" si="2"/>
        <v>0.99999999999983658</v>
      </c>
      <c r="T37" s="9">
        <f t="shared" si="3"/>
        <v>8.999999999999968</v>
      </c>
      <c r="U37" s="9">
        <f t="shared" si="13"/>
        <v>22.999999999999918</v>
      </c>
      <c r="V37" s="9">
        <f t="shared" si="4"/>
        <v>19</v>
      </c>
      <c r="W37" s="9" t="str">
        <f t="shared" si="5"/>
        <v>Peak Night</v>
      </c>
      <c r="X37" s="9" t="str">
        <f t="shared" si="6"/>
        <v>Peak</v>
      </c>
      <c r="Y37" s="23">
        <f t="shared" si="7"/>
        <v>9.9130434782609037E-2</v>
      </c>
      <c r="Z37" s="23">
        <f t="shared" si="8"/>
        <v>35.526315789473685</v>
      </c>
      <c r="AA37" s="23">
        <f t="shared" si="9"/>
        <v>0.38028169014084506</v>
      </c>
      <c r="AB37" s="9" t="str">
        <f t="shared" si="10"/>
        <v>Late</v>
      </c>
      <c r="AC37" s="9" t="str">
        <f t="shared" si="11"/>
        <v>No Delay</v>
      </c>
      <c r="AD37" s="64" t="str">
        <f t="shared" si="12"/>
        <v>Medium (2-5km)</v>
      </c>
    </row>
    <row r="38" spans="1:30" x14ac:dyDescent="0.3">
      <c r="A38" s="8" t="s">
        <v>153</v>
      </c>
      <c r="B38" s="9" t="s">
        <v>48</v>
      </c>
      <c r="C38" s="9" t="s">
        <v>597</v>
      </c>
      <c r="D38" s="9">
        <v>11</v>
      </c>
      <c r="E38" s="9" t="s">
        <v>59</v>
      </c>
      <c r="F38" s="9" t="s">
        <v>452</v>
      </c>
      <c r="G38" s="10">
        <v>0.48541666666666666</v>
      </c>
      <c r="H38" s="9" t="s">
        <v>705</v>
      </c>
      <c r="I38" s="9">
        <v>1.63</v>
      </c>
      <c r="J38" s="9" t="s">
        <v>211</v>
      </c>
      <c r="K38" s="9">
        <v>249</v>
      </c>
      <c r="L38" s="9">
        <v>69</v>
      </c>
      <c r="M38" s="9" t="s">
        <v>22</v>
      </c>
      <c r="N38" s="9">
        <v>18</v>
      </c>
      <c r="O38" s="9" t="s">
        <v>23</v>
      </c>
      <c r="P38" s="9" t="s">
        <v>24</v>
      </c>
      <c r="Q38" s="9" t="str">
        <f t="shared" si="0"/>
        <v>None</v>
      </c>
      <c r="R38" s="9">
        <f t="shared" si="1"/>
        <v>35.99999999999995</v>
      </c>
      <c r="S38" s="9">
        <f t="shared" si="2"/>
        <v>1.9999999999999929</v>
      </c>
      <c r="T38" s="9">
        <f t="shared" si="3"/>
        <v>2.9999999999999893</v>
      </c>
      <c r="U38" s="9">
        <f t="shared" si="13"/>
        <v>19.999999999999929</v>
      </c>
      <c r="V38" s="9">
        <f t="shared" si="4"/>
        <v>11</v>
      </c>
      <c r="W38" s="9" t="str">
        <f t="shared" si="5"/>
        <v>Late Morning</v>
      </c>
      <c r="X38" s="9" t="str">
        <f t="shared" si="6"/>
        <v>Off-Peak</v>
      </c>
      <c r="Y38" s="23">
        <f t="shared" si="7"/>
        <v>8.1500000000000281E-2</v>
      </c>
      <c r="Z38" s="23">
        <f t="shared" si="8"/>
        <v>42.331288343558285</v>
      </c>
      <c r="AA38" s="23">
        <f t="shared" si="9"/>
        <v>0.27710843373493976</v>
      </c>
      <c r="AB38" s="9" t="str">
        <f t="shared" si="10"/>
        <v>On-Time</v>
      </c>
      <c r="AC38" s="9" t="str">
        <f t="shared" si="11"/>
        <v>No Delay</v>
      </c>
      <c r="AD38" s="64" t="str">
        <f t="shared" si="12"/>
        <v>Short (0-2km)</v>
      </c>
    </row>
    <row r="39" spans="1:30" x14ac:dyDescent="0.3">
      <c r="A39" s="8" t="s">
        <v>157</v>
      </c>
      <c r="B39" s="9" t="s">
        <v>481</v>
      </c>
      <c r="C39" s="9" t="s">
        <v>597</v>
      </c>
      <c r="D39" s="9">
        <v>15</v>
      </c>
      <c r="E39" s="9" t="s">
        <v>706</v>
      </c>
      <c r="F39" s="9" t="s">
        <v>165</v>
      </c>
      <c r="G39" s="10">
        <v>0.46111111111111108</v>
      </c>
      <c r="H39" s="9" t="s">
        <v>131</v>
      </c>
      <c r="I39" s="9">
        <v>7.25</v>
      </c>
      <c r="J39" s="9" t="s">
        <v>21</v>
      </c>
      <c r="K39" s="9">
        <v>175</v>
      </c>
      <c r="L39" s="9">
        <v>126</v>
      </c>
      <c r="M39" s="9" t="s">
        <v>22</v>
      </c>
      <c r="N39" s="9">
        <v>18</v>
      </c>
      <c r="O39" s="9" t="s">
        <v>23</v>
      </c>
      <c r="P39" s="9" t="s">
        <v>24</v>
      </c>
      <c r="Q39" s="9" t="str">
        <f t="shared" si="0"/>
        <v>Distance</v>
      </c>
      <c r="R39" s="9">
        <f t="shared" si="1"/>
        <v>69</v>
      </c>
      <c r="S39" s="9">
        <f t="shared" si="2"/>
        <v>1.9999999999999929</v>
      </c>
      <c r="T39" s="9">
        <f t="shared" si="3"/>
        <v>4.9999999999999822</v>
      </c>
      <c r="U39" s="9">
        <f t="shared" si="13"/>
        <v>46.999999999999993</v>
      </c>
      <c r="V39" s="9">
        <f t="shared" si="4"/>
        <v>10</v>
      </c>
      <c r="W39" s="9" t="str">
        <f t="shared" si="5"/>
        <v>Late Morning</v>
      </c>
      <c r="X39" s="9" t="str">
        <f t="shared" si="6"/>
        <v>Off-Peak</v>
      </c>
      <c r="Y39" s="23">
        <f t="shared" si="7"/>
        <v>0.1542553191489362</v>
      </c>
      <c r="Z39" s="23">
        <f t="shared" si="8"/>
        <v>17.379310344827587</v>
      </c>
      <c r="AA39" s="23">
        <f t="shared" si="9"/>
        <v>0.72</v>
      </c>
      <c r="AB39" s="9" t="str">
        <f t="shared" si="10"/>
        <v>Late</v>
      </c>
      <c r="AC39" s="9" t="str">
        <f t="shared" si="11"/>
        <v>No Delay</v>
      </c>
      <c r="AD39" s="64" t="str">
        <f t="shared" si="12"/>
        <v>Long (5+km)</v>
      </c>
    </row>
    <row r="40" spans="1:30" x14ac:dyDescent="0.3">
      <c r="A40" s="8" t="s">
        <v>161</v>
      </c>
      <c r="B40" s="9" t="s">
        <v>616</v>
      </c>
      <c r="C40" s="9" t="s">
        <v>597</v>
      </c>
      <c r="D40" s="9">
        <v>11</v>
      </c>
      <c r="E40" s="9" t="s">
        <v>308</v>
      </c>
      <c r="F40" s="9" t="s">
        <v>557</v>
      </c>
      <c r="G40" s="10">
        <v>0.84444444444444433</v>
      </c>
      <c r="H40" s="9" t="s">
        <v>707</v>
      </c>
      <c r="I40" s="9">
        <v>1.1399999999999999</v>
      </c>
      <c r="J40" s="9" t="s">
        <v>21</v>
      </c>
      <c r="K40" s="9">
        <v>218</v>
      </c>
      <c r="L40" s="9">
        <v>69</v>
      </c>
      <c r="M40" s="9" t="s">
        <v>22</v>
      </c>
      <c r="N40" s="9">
        <v>9</v>
      </c>
      <c r="O40" s="9" t="s">
        <v>34</v>
      </c>
      <c r="P40" s="9" t="s">
        <v>24</v>
      </c>
      <c r="Q40" s="9" t="str">
        <f t="shared" si="0"/>
        <v>Traffic</v>
      </c>
      <c r="R40" s="9">
        <f t="shared" si="1"/>
        <v>41.999999999999851</v>
      </c>
      <c r="S40" s="9">
        <f t="shared" si="2"/>
        <v>5.9999999999998188</v>
      </c>
      <c r="T40" s="9">
        <f t="shared" si="3"/>
        <v>6.9999999999999751</v>
      </c>
      <c r="U40" s="9">
        <f t="shared" si="13"/>
        <v>18.000000000000096</v>
      </c>
      <c r="V40" s="9">
        <f t="shared" si="4"/>
        <v>19</v>
      </c>
      <c r="W40" s="9" t="str">
        <f t="shared" si="5"/>
        <v>Peak Night</v>
      </c>
      <c r="X40" s="9" t="str">
        <f t="shared" si="6"/>
        <v>Peak</v>
      </c>
      <c r="Y40" s="23">
        <f t="shared" si="7"/>
        <v>6.3333333333332992E-2</v>
      </c>
      <c r="Z40" s="23">
        <f t="shared" si="8"/>
        <v>60.526315789473692</v>
      </c>
      <c r="AA40" s="23">
        <f t="shared" si="9"/>
        <v>0.3165137614678899</v>
      </c>
      <c r="AB40" s="9" t="str">
        <f t="shared" si="10"/>
        <v>On-Time</v>
      </c>
      <c r="AC40" s="9" t="str">
        <f t="shared" si="11"/>
        <v>No Delay</v>
      </c>
      <c r="AD40" s="64" t="str">
        <f t="shared" si="12"/>
        <v>Short (0-2km)</v>
      </c>
    </row>
    <row r="41" spans="1:30" x14ac:dyDescent="0.3">
      <c r="A41" s="8" t="s">
        <v>164</v>
      </c>
      <c r="B41" s="9" t="s">
        <v>116</v>
      </c>
      <c r="C41" s="9" t="s">
        <v>597</v>
      </c>
      <c r="D41" s="9">
        <v>10</v>
      </c>
      <c r="E41" s="9" t="s">
        <v>316</v>
      </c>
      <c r="F41" s="9" t="s">
        <v>526</v>
      </c>
      <c r="G41" s="10">
        <v>0.47638888888888892</v>
      </c>
      <c r="H41" s="9" t="s">
        <v>131</v>
      </c>
      <c r="I41" s="9">
        <v>3.04</v>
      </c>
      <c r="J41" s="9" t="s">
        <v>65</v>
      </c>
      <c r="K41" s="9">
        <v>370</v>
      </c>
      <c r="L41" s="9">
        <v>80</v>
      </c>
      <c r="M41" s="9" t="s">
        <v>22</v>
      </c>
      <c r="N41" s="9">
        <v>17</v>
      </c>
      <c r="O41" s="9" t="s">
        <v>23</v>
      </c>
      <c r="P41" s="9" t="s">
        <v>24</v>
      </c>
      <c r="Q41" s="9" t="str">
        <f t="shared" si="0"/>
        <v>None</v>
      </c>
      <c r="R41" s="9">
        <f t="shared" si="1"/>
        <v>39.000000000000021</v>
      </c>
      <c r="S41" s="9">
        <f t="shared" si="2"/>
        <v>1.9999999999999929</v>
      </c>
      <c r="T41" s="9">
        <f t="shared" si="3"/>
        <v>1.9999999999999929</v>
      </c>
      <c r="U41" s="9">
        <f t="shared" si="13"/>
        <v>24.999999999999911</v>
      </c>
      <c r="V41" s="9">
        <f t="shared" si="4"/>
        <v>11</v>
      </c>
      <c r="W41" s="9" t="str">
        <f t="shared" si="5"/>
        <v>Late Morning</v>
      </c>
      <c r="X41" s="9" t="str">
        <f t="shared" si="6"/>
        <v>Off-Peak</v>
      </c>
      <c r="Y41" s="23">
        <f t="shared" si="7"/>
        <v>0.12160000000000043</v>
      </c>
      <c r="Z41" s="23">
        <f t="shared" si="8"/>
        <v>26.315789473684209</v>
      </c>
      <c r="AA41" s="23">
        <f t="shared" si="9"/>
        <v>0.21621621621621623</v>
      </c>
      <c r="AB41" s="9" t="str">
        <f t="shared" si="10"/>
        <v>On-Time</v>
      </c>
      <c r="AC41" s="9" t="str">
        <f t="shared" si="11"/>
        <v>No Delay</v>
      </c>
      <c r="AD41" s="64" t="str">
        <f t="shared" si="12"/>
        <v>Medium (2-5km)</v>
      </c>
    </row>
    <row r="42" spans="1:30" x14ac:dyDescent="0.3">
      <c r="A42" s="8" t="s">
        <v>166</v>
      </c>
      <c r="B42" s="9" t="s">
        <v>708</v>
      </c>
      <c r="C42" s="9" t="s">
        <v>597</v>
      </c>
      <c r="D42" s="9">
        <v>15</v>
      </c>
      <c r="E42" s="9" t="s">
        <v>192</v>
      </c>
      <c r="F42" s="9" t="s">
        <v>705</v>
      </c>
      <c r="G42" s="10">
        <v>0.49999999999999994</v>
      </c>
      <c r="H42" s="9" t="s">
        <v>181</v>
      </c>
      <c r="I42" s="9">
        <v>7.64</v>
      </c>
      <c r="J42" s="9" t="s">
        <v>65</v>
      </c>
      <c r="K42" s="9">
        <v>188</v>
      </c>
      <c r="L42" s="9">
        <v>130</v>
      </c>
      <c r="M42" s="9" t="s">
        <v>22</v>
      </c>
      <c r="N42" s="9">
        <v>12</v>
      </c>
      <c r="O42" s="9" t="s">
        <v>23</v>
      </c>
      <c r="P42" s="9" t="s">
        <v>24</v>
      </c>
      <c r="Q42" s="9" t="str">
        <f t="shared" si="0"/>
        <v>Distance</v>
      </c>
      <c r="R42" s="9">
        <f t="shared" si="1"/>
        <v>69.999999999999986</v>
      </c>
      <c r="S42" s="9">
        <f t="shared" si="2"/>
        <v>0.99999999999991651</v>
      </c>
      <c r="T42" s="9">
        <f t="shared" si="3"/>
        <v>0.99999999999999645</v>
      </c>
      <c r="U42" s="9">
        <f t="shared" si="13"/>
        <v>53.00000000000005</v>
      </c>
      <c r="V42" s="9">
        <f t="shared" si="4"/>
        <v>11</v>
      </c>
      <c r="W42" s="9" t="str">
        <f t="shared" si="5"/>
        <v>Late Morning</v>
      </c>
      <c r="X42" s="9" t="str">
        <f t="shared" si="6"/>
        <v>Off-Peak</v>
      </c>
      <c r="Y42" s="23">
        <f t="shared" si="7"/>
        <v>0.14415094339622628</v>
      </c>
      <c r="Z42" s="23">
        <f t="shared" si="8"/>
        <v>17.015706806282722</v>
      </c>
      <c r="AA42" s="23">
        <f t="shared" si="9"/>
        <v>0.69148936170212771</v>
      </c>
      <c r="AB42" s="9" t="str">
        <f t="shared" si="10"/>
        <v>Late</v>
      </c>
      <c r="AC42" s="9" t="str">
        <f t="shared" si="11"/>
        <v>No Delay</v>
      </c>
      <c r="AD42" s="64" t="str">
        <f t="shared" si="12"/>
        <v>Long (5+km)</v>
      </c>
    </row>
    <row r="43" spans="1:30" x14ac:dyDescent="0.3">
      <c r="A43" s="8" t="s">
        <v>167</v>
      </c>
      <c r="B43" s="9" t="s">
        <v>207</v>
      </c>
      <c r="C43" s="9" t="s">
        <v>597</v>
      </c>
      <c r="D43" s="9">
        <v>18</v>
      </c>
      <c r="E43" s="9" t="s">
        <v>565</v>
      </c>
      <c r="F43" s="9" t="s">
        <v>223</v>
      </c>
      <c r="G43" s="10">
        <v>0.65902777777777777</v>
      </c>
      <c r="H43" s="9" t="s">
        <v>704</v>
      </c>
      <c r="I43" s="9">
        <v>1.88</v>
      </c>
      <c r="J43" s="9" t="s">
        <v>99</v>
      </c>
      <c r="K43" s="9">
        <v>383</v>
      </c>
      <c r="L43" s="9">
        <v>65</v>
      </c>
      <c r="M43" s="9" t="s">
        <v>22</v>
      </c>
      <c r="N43" s="9">
        <v>19</v>
      </c>
      <c r="O43" s="9" t="s">
        <v>55</v>
      </c>
      <c r="P43" s="9" t="s">
        <v>24</v>
      </c>
      <c r="Q43" s="9" t="str">
        <f t="shared" si="0"/>
        <v>None</v>
      </c>
      <c r="R43" s="9">
        <f t="shared" si="1"/>
        <v>37.000000000000028</v>
      </c>
      <c r="S43" s="9">
        <f t="shared" si="2"/>
        <v>0.99999999999999645</v>
      </c>
      <c r="T43" s="9">
        <f t="shared" si="3"/>
        <v>2.9999999999999893</v>
      </c>
      <c r="U43" s="9">
        <f t="shared" si="13"/>
        <v>14.999999999999947</v>
      </c>
      <c r="V43" s="9">
        <f t="shared" si="4"/>
        <v>15</v>
      </c>
      <c r="W43" s="9" t="str">
        <f t="shared" si="5"/>
        <v>Evening</v>
      </c>
      <c r="X43" s="9" t="str">
        <f t="shared" si="6"/>
        <v>Off-Peak</v>
      </c>
      <c r="Y43" s="23">
        <f t="shared" si="7"/>
        <v>0.12533333333333377</v>
      </c>
      <c r="Z43" s="23">
        <f t="shared" si="8"/>
        <v>34.574468085106382</v>
      </c>
      <c r="AA43" s="23">
        <f t="shared" si="9"/>
        <v>0.16971279373368145</v>
      </c>
      <c r="AB43" s="9" t="str">
        <f t="shared" si="10"/>
        <v>On-Time</v>
      </c>
      <c r="AC43" s="9" t="str">
        <f t="shared" si="11"/>
        <v>No Delay</v>
      </c>
      <c r="AD43" s="64" t="str">
        <f t="shared" si="12"/>
        <v>Short (0-2km)</v>
      </c>
    </row>
    <row r="44" spans="1:30" x14ac:dyDescent="0.3">
      <c r="A44" s="8" t="s">
        <v>170</v>
      </c>
      <c r="B44" s="9" t="s">
        <v>710</v>
      </c>
      <c r="C44" s="9" t="s">
        <v>597</v>
      </c>
      <c r="D44" s="9">
        <v>19</v>
      </c>
      <c r="E44" s="9" t="s">
        <v>363</v>
      </c>
      <c r="F44" s="9" t="s">
        <v>630</v>
      </c>
      <c r="G44" s="10">
        <v>0.65833333333333333</v>
      </c>
      <c r="H44" s="9" t="s">
        <v>202</v>
      </c>
      <c r="I44" s="9">
        <v>6.89</v>
      </c>
      <c r="J44" s="9" t="s">
        <v>21</v>
      </c>
      <c r="K44" s="9">
        <v>260</v>
      </c>
      <c r="L44" s="9">
        <v>117</v>
      </c>
      <c r="M44" s="9" t="s">
        <v>22</v>
      </c>
      <c r="N44" s="9">
        <v>20</v>
      </c>
      <c r="O44" s="9" t="s">
        <v>55</v>
      </c>
      <c r="P44" s="9" t="s">
        <v>24</v>
      </c>
      <c r="Q44" s="9" t="str">
        <f t="shared" si="0"/>
        <v>Distance</v>
      </c>
      <c r="R44" s="9">
        <f t="shared" si="1"/>
        <v>64.999999999999929</v>
      </c>
      <c r="S44" s="9">
        <f t="shared" si="2"/>
        <v>0.99999999999999645</v>
      </c>
      <c r="T44" s="9">
        <f t="shared" si="3"/>
        <v>4.9999999999999822</v>
      </c>
      <c r="U44" s="9">
        <f t="shared" si="13"/>
        <v>39.999999999999858</v>
      </c>
      <c r="V44" s="9">
        <f t="shared" si="4"/>
        <v>15</v>
      </c>
      <c r="W44" s="9" t="str">
        <f t="shared" si="5"/>
        <v>Evening</v>
      </c>
      <c r="X44" s="9" t="str">
        <f t="shared" si="6"/>
        <v>Off-Peak</v>
      </c>
      <c r="Y44" s="23">
        <f t="shared" si="7"/>
        <v>0.1722500000000006</v>
      </c>
      <c r="Z44" s="23">
        <f t="shared" si="8"/>
        <v>16.981132075471699</v>
      </c>
      <c r="AA44" s="23">
        <f t="shared" si="9"/>
        <v>0.45</v>
      </c>
      <c r="AB44" s="9" t="str">
        <f t="shared" si="10"/>
        <v>Late</v>
      </c>
      <c r="AC44" s="9" t="str">
        <f t="shared" si="11"/>
        <v>No Delay</v>
      </c>
      <c r="AD44" s="64" t="str">
        <f t="shared" si="12"/>
        <v>Long (5+km)</v>
      </c>
    </row>
    <row r="45" spans="1:30" x14ac:dyDescent="0.3">
      <c r="A45" s="8" t="s">
        <v>173</v>
      </c>
      <c r="B45" s="9" t="s">
        <v>381</v>
      </c>
      <c r="C45" s="9" t="s">
        <v>594</v>
      </c>
      <c r="D45" s="9">
        <v>32</v>
      </c>
      <c r="E45" s="9" t="s">
        <v>619</v>
      </c>
      <c r="F45" s="9" t="s">
        <v>361</v>
      </c>
      <c r="G45" s="10">
        <v>0.55972222222222223</v>
      </c>
      <c r="H45" s="9" t="s">
        <v>711</v>
      </c>
      <c r="I45" s="9">
        <v>5.77</v>
      </c>
      <c r="J45" s="9" t="s">
        <v>54</v>
      </c>
      <c r="K45" s="9">
        <v>290</v>
      </c>
      <c r="L45" s="9">
        <v>107</v>
      </c>
      <c r="M45" s="9" t="s">
        <v>22</v>
      </c>
      <c r="N45" s="9">
        <v>14</v>
      </c>
      <c r="O45" s="9" t="s">
        <v>23</v>
      </c>
      <c r="P45" s="9" t="s">
        <v>24</v>
      </c>
      <c r="Q45" s="9" t="str">
        <f t="shared" si="0"/>
        <v>Restaurant Delay</v>
      </c>
      <c r="R45" s="9">
        <f t="shared" si="1"/>
        <v>80.000000000000028</v>
      </c>
      <c r="S45" s="9">
        <f t="shared" si="2"/>
        <v>7.9999999999999716</v>
      </c>
      <c r="T45" s="9">
        <f t="shared" si="3"/>
        <v>4.9999999999999822</v>
      </c>
      <c r="U45" s="9">
        <f t="shared" si="13"/>
        <v>35.000000000000036</v>
      </c>
      <c r="V45" s="9">
        <f t="shared" si="4"/>
        <v>12</v>
      </c>
      <c r="W45" s="9" t="str">
        <f t="shared" si="5"/>
        <v>Afternoon</v>
      </c>
      <c r="X45" s="9" t="str">
        <f t="shared" si="6"/>
        <v>Peak</v>
      </c>
      <c r="Y45" s="23">
        <f t="shared" si="7"/>
        <v>0.16485714285714267</v>
      </c>
      <c r="Z45" s="23">
        <f t="shared" si="8"/>
        <v>18.544194107452341</v>
      </c>
      <c r="AA45" s="23">
        <f t="shared" si="9"/>
        <v>0.36896551724137933</v>
      </c>
      <c r="AB45" s="9" t="str">
        <f t="shared" si="10"/>
        <v>Late</v>
      </c>
      <c r="AC45" s="9" t="str">
        <f t="shared" si="11"/>
        <v>No Delay</v>
      </c>
      <c r="AD45" s="64" t="str">
        <f t="shared" si="12"/>
        <v>Long (5+km)</v>
      </c>
    </row>
    <row r="46" spans="1:30" x14ac:dyDescent="0.3">
      <c r="A46" s="8" t="s">
        <v>175</v>
      </c>
      <c r="B46" s="9" t="s">
        <v>169</v>
      </c>
      <c r="C46" s="9" t="s">
        <v>597</v>
      </c>
      <c r="D46" s="9">
        <v>18</v>
      </c>
      <c r="E46" s="9" t="s">
        <v>344</v>
      </c>
      <c r="F46" s="9" t="s">
        <v>30</v>
      </c>
      <c r="G46" s="10">
        <v>0.82013888888888886</v>
      </c>
      <c r="H46" s="9" t="s">
        <v>557</v>
      </c>
      <c r="I46" s="9">
        <v>3.77</v>
      </c>
      <c r="J46" s="9" t="s">
        <v>28</v>
      </c>
      <c r="K46" s="9">
        <v>274</v>
      </c>
      <c r="L46" s="9">
        <v>92</v>
      </c>
      <c r="M46" s="9" t="s">
        <v>22</v>
      </c>
      <c r="N46" s="9">
        <v>11</v>
      </c>
      <c r="O46" s="9" t="s">
        <v>34</v>
      </c>
      <c r="P46" s="9" t="s">
        <v>24</v>
      </c>
      <c r="Q46" s="9" t="str">
        <f t="shared" si="0"/>
        <v>Traffic</v>
      </c>
      <c r="R46" s="9">
        <f t="shared" si="1"/>
        <v>54.999999999999801</v>
      </c>
      <c r="S46" s="9">
        <f t="shared" si="2"/>
        <v>1.999999999999833</v>
      </c>
      <c r="T46" s="9">
        <f t="shared" si="3"/>
        <v>6.9999999999999751</v>
      </c>
      <c r="U46" s="9">
        <f t="shared" si="13"/>
        <v>27.999999999999901</v>
      </c>
      <c r="V46" s="9">
        <f t="shared" si="4"/>
        <v>19</v>
      </c>
      <c r="W46" s="9" t="str">
        <f t="shared" si="5"/>
        <v>Peak Night</v>
      </c>
      <c r="X46" s="9" t="str">
        <f t="shared" si="6"/>
        <v>Peak</v>
      </c>
      <c r="Y46" s="23">
        <f t="shared" si="7"/>
        <v>0.13464285714285762</v>
      </c>
      <c r="Z46" s="23">
        <f t="shared" si="8"/>
        <v>24.403183023872678</v>
      </c>
      <c r="AA46" s="23">
        <f t="shared" si="9"/>
        <v>0.33576642335766421</v>
      </c>
      <c r="AB46" s="9" t="str">
        <f t="shared" si="10"/>
        <v>Late</v>
      </c>
      <c r="AC46" s="9" t="str">
        <f t="shared" si="11"/>
        <v>No Delay</v>
      </c>
      <c r="AD46" s="64" t="str">
        <f t="shared" si="12"/>
        <v>Medium (2-5km)</v>
      </c>
    </row>
    <row r="47" spans="1:30" x14ac:dyDescent="0.3">
      <c r="A47" s="8" t="s">
        <v>178</v>
      </c>
      <c r="B47" s="9" t="s">
        <v>712</v>
      </c>
      <c r="C47" s="9" t="s">
        <v>597</v>
      </c>
      <c r="D47" s="9">
        <v>10</v>
      </c>
      <c r="E47" s="9" t="s">
        <v>163</v>
      </c>
      <c r="F47" s="9" t="s">
        <v>204</v>
      </c>
      <c r="G47" s="10">
        <v>0.72152777777777788</v>
      </c>
      <c r="H47" s="9" t="s">
        <v>654</v>
      </c>
      <c r="I47" s="9">
        <v>3.48</v>
      </c>
      <c r="J47" s="9" t="s">
        <v>54</v>
      </c>
      <c r="K47" s="9">
        <v>185</v>
      </c>
      <c r="L47" s="9">
        <v>89</v>
      </c>
      <c r="M47" s="9" t="s">
        <v>22</v>
      </c>
      <c r="N47" s="9">
        <v>12</v>
      </c>
      <c r="O47" s="9" t="s">
        <v>23</v>
      </c>
      <c r="P47" s="9" t="s">
        <v>24</v>
      </c>
      <c r="Q47" s="9" t="str">
        <f t="shared" si="0"/>
        <v>None</v>
      </c>
      <c r="R47" s="9">
        <f t="shared" si="1"/>
        <v>45</v>
      </c>
      <c r="S47" s="9">
        <f t="shared" si="2"/>
        <v>1.0000000000001563</v>
      </c>
      <c r="T47" s="9">
        <f t="shared" si="3"/>
        <v>1.9999999999999929</v>
      </c>
      <c r="U47" s="9">
        <f t="shared" si="13"/>
        <v>31.999999999999886</v>
      </c>
      <c r="V47" s="9">
        <f t="shared" si="4"/>
        <v>17</v>
      </c>
      <c r="W47" s="9" t="str">
        <f t="shared" si="5"/>
        <v>Evening</v>
      </c>
      <c r="X47" s="9" t="str">
        <f t="shared" si="6"/>
        <v>Peak</v>
      </c>
      <c r="Y47" s="23">
        <f t="shared" si="7"/>
        <v>0.10875000000000039</v>
      </c>
      <c r="Z47" s="23">
        <f t="shared" si="8"/>
        <v>25.574712643678161</v>
      </c>
      <c r="AA47" s="23">
        <f t="shared" si="9"/>
        <v>0.48108108108108111</v>
      </c>
      <c r="AB47" s="9" t="str">
        <f t="shared" si="10"/>
        <v>On-Time</v>
      </c>
      <c r="AC47" s="9" t="str">
        <f t="shared" si="11"/>
        <v>No Delay</v>
      </c>
      <c r="AD47" s="64" t="str">
        <f t="shared" si="12"/>
        <v>Medium (2-5km)</v>
      </c>
    </row>
    <row r="48" spans="1:30" x14ac:dyDescent="0.3">
      <c r="A48" s="8" t="s">
        <v>180</v>
      </c>
      <c r="B48" s="9" t="s">
        <v>67</v>
      </c>
      <c r="C48" s="9" t="s">
        <v>597</v>
      </c>
      <c r="D48" s="9">
        <v>16</v>
      </c>
      <c r="E48" s="9" t="s">
        <v>713</v>
      </c>
      <c r="F48" s="9" t="s">
        <v>103</v>
      </c>
      <c r="G48" s="10">
        <v>0.63055555555555554</v>
      </c>
      <c r="H48" s="9" t="s">
        <v>714</v>
      </c>
      <c r="I48" s="9">
        <v>1.62</v>
      </c>
      <c r="J48" s="9" t="s">
        <v>118</v>
      </c>
      <c r="K48" s="9">
        <v>231</v>
      </c>
      <c r="L48" s="9">
        <v>65</v>
      </c>
      <c r="M48" s="9" t="s">
        <v>77</v>
      </c>
      <c r="N48" s="9">
        <v>16</v>
      </c>
      <c r="O48" s="9" t="s">
        <v>55</v>
      </c>
      <c r="P48" s="9" t="s">
        <v>78</v>
      </c>
      <c r="Q48" s="9" t="str">
        <f t="shared" si="0"/>
        <v>Restaurant Delay</v>
      </c>
      <c r="R48" s="9">
        <f t="shared" si="1"/>
        <v>37.999999999999865</v>
      </c>
      <c r="S48" s="9">
        <f t="shared" si="2"/>
        <v>2.9999999999999893</v>
      </c>
      <c r="T48" s="9">
        <f t="shared" si="3"/>
        <v>5.9999999999999787</v>
      </c>
      <c r="U48" s="9">
        <f t="shared" si="13"/>
        <v>12.999999999999954</v>
      </c>
      <c r="V48" s="9">
        <f t="shared" si="4"/>
        <v>14</v>
      </c>
      <c r="W48" s="9" t="str">
        <f t="shared" si="5"/>
        <v>Afternoon</v>
      </c>
      <c r="X48" s="9" t="str">
        <f t="shared" si="6"/>
        <v>Off-Peak</v>
      </c>
      <c r="Y48" s="23">
        <f t="shared" si="7"/>
        <v>0.12461538461538507</v>
      </c>
      <c r="Z48" s="23">
        <f t="shared" si="8"/>
        <v>40.123456790123456</v>
      </c>
      <c r="AA48" s="23">
        <f t="shared" si="9"/>
        <v>0.2813852813852814</v>
      </c>
      <c r="AB48" s="9" t="str">
        <f t="shared" si="10"/>
        <v>On-Time</v>
      </c>
      <c r="AC48" s="9" t="str">
        <f t="shared" si="11"/>
        <v>Restaurant Delay</v>
      </c>
      <c r="AD48" s="64" t="str">
        <f t="shared" si="12"/>
        <v>Short (0-2km)</v>
      </c>
    </row>
    <row r="49" spans="1:30" x14ac:dyDescent="0.3">
      <c r="A49" s="8" t="s">
        <v>183</v>
      </c>
      <c r="B49" s="9" t="s">
        <v>248</v>
      </c>
      <c r="C49" s="9" t="s">
        <v>597</v>
      </c>
      <c r="D49" s="9">
        <v>20</v>
      </c>
      <c r="E49" s="9" t="s">
        <v>571</v>
      </c>
      <c r="F49" s="9" t="s">
        <v>654</v>
      </c>
      <c r="G49" s="10">
        <v>0.74652777777777779</v>
      </c>
      <c r="H49" s="9" t="s">
        <v>715</v>
      </c>
      <c r="I49" s="9">
        <v>2.67</v>
      </c>
      <c r="J49" s="9" t="s">
        <v>160</v>
      </c>
      <c r="K49" s="9">
        <v>394</v>
      </c>
      <c r="L49" s="9">
        <v>77</v>
      </c>
      <c r="M49" s="9" t="s">
        <v>22</v>
      </c>
      <c r="N49" s="9">
        <v>17</v>
      </c>
      <c r="O49" s="9" t="s">
        <v>23</v>
      </c>
      <c r="P49" s="9" t="s">
        <v>24</v>
      </c>
      <c r="Q49" s="9" t="str">
        <f t="shared" si="0"/>
        <v>None</v>
      </c>
      <c r="R49" s="9">
        <f t="shared" si="1"/>
        <v>49.000000000000142</v>
      </c>
      <c r="S49" s="9">
        <f t="shared" si="2"/>
        <v>2.9999999999999893</v>
      </c>
      <c r="T49" s="9">
        <f t="shared" si="3"/>
        <v>3.9999999999999858</v>
      </c>
      <c r="U49" s="9">
        <f t="shared" si="13"/>
        <v>22.000000000000082</v>
      </c>
      <c r="V49" s="9">
        <f t="shared" si="4"/>
        <v>17</v>
      </c>
      <c r="W49" s="9" t="str">
        <f t="shared" si="5"/>
        <v>Evening</v>
      </c>
      <c r="X49" s="9" t="str">
        <f t="shared" si="6"/>
        <v>Peak</v>
      </c>
      <c r="Y49" s="23">
        <f t="shared" si="7"/>
        <v>0.12136363636363591</v>
      </c>
      <c r="Z49" s="23">
        <f t="shared" si="8"/>
        <v>28.838951310861425</v>
      </c>
      <c r="AA49" s="23">
        <f t="shared" si="9"/>
        <v>0.19543147208121828</v>
      </c>
      <c r="AB49" s="9" t="str">
        <f t="shared" si="10"/>
        <v>Late</v>
      </c>
      <c r="AC49" s="9" t="str">
        <f t="shared" si="11"/>
        <v>No Delay</v>
      </c>
      <c r="AD49" s="64" t="str">
        <f t="shared" si="12"/>
        <v>Medium (2-5km)</v>
      </c>
    </row>
    <row r="50" spans="1:30" x14ac:dyDescent="0.3">
      <c r="A50" s="8" t="s">
        <v>187</v>
      </c>
      <c r="B50" s="9" t="s">
        <v>676</v>
      </c>
      <c r="C50" s="9" t="s">
        <v>597</v>
      </c>
      <c r="D50" s="9">
        <v>19</v>
      </c>
      <c r="E50" s="9" t="s">
        <v>575</v>
      </c>
      <c r="F50" s="9" t="s">
        <v>716</v>
      </c>
      <c r="G50" s="10">
        <v>0.72638888888888886</v>
      </c>
      <c r="H50" s="9" t="s">
        <v>423</v>
      </c>
      <c r="I50" s="9">
        <v>2.93</v>
      </c>
      <c r="J50" s="9" t="s">
        <v>118</v>
      </c>
      <c r="K50" s="9">
        <v>345</v>
      </c>
      <c r="L50" s="9">
        <v>84</v>
      </c>
      <c r="M50" s="9" t="s">
        <v>77</v>
      </c>
      <c r="N50" s="9">
        <v>17</v>
      </c>
      <c r="O50" s="9" t="s">
        <v>23</v>
      </c>
      <c r="P50" s="9" t="s">
        <v>78</v>
      </c>
      <c r="Q50" s="9" t="str">
        <f t="shared" si="0"/>
        <v>Restaurant Delay</v>
      </c>
      <c r="R50" s="9">
        <f t="shared" si="1"/>
        <v>50.999999999999979</v>
      </c>
      <c r="S50" s="9">
        <f t="shared" si="2"/>
        <v>0.99999999999983658</v>
      </c>
      <c r="T50" s="9">
        <f t="shared" si="3"/>
        <v>3.9999999999999858</v>
      </c>
      <c r="U50" s="9">
        <f t="shared" si="13"/>
        <v>27.000000000000064</v>
      </c>
      <c r="V50" s="9">
        <f t="shared" si="4"/>
        <v>17</v>
      </c>
      <c r="W50" s="9" t="str">
        <f t="shared" si="5"/>
        <v>Evening</v>
      </c>
      <c r="X50" s="9" t="str">
        <f t="shared" si="6"/>
        <v>Peak</v>
      </c>
      <c r="Y50" s="23">
        <f t="shared" si="7"/>
        <v>0.10851851851851826</v>
      </c>
      <c r="Z50" s="23">
        <f t="shared" si="8"/>
        <v>28.668941979522184</v>
      </c>
      <c r="AA50" s="23">
        <f t="shared" si="9"/>
        <v>0.24347826086956523</v>
      </c>
      <c r="AB50" s="9" t="str">
        <f t="shared" si="10"/>
        <v>Late</v>
      </c>
      <c r="AC50" s="9" t="str">
        <f t="shared" si="11"/>
        <v>Restaurant Delay</v>
      </c>
      <c r="AD50" s="64" t="str">
        <f t="shared" si="12"/>
        <v>Medium (2-5km)</v>
      </c>
    </row>
    <row r="51" spans="1:30" x14ac:dyDescent="0.3">
      <c r="A51" s="8" t="s">
        <v>189</v>
      </c>
      <c r="B51" s="9" t="s">
        <v>281</v>
      </c>
      <c r="C51" s="9" t="s">
        <v>597</v>
      </c>
      <c r="D51" s="9">
        <v>13</v>
      </c>
      <c r="E51" s="9" t="s">
        <v>203</v>
      </c>
      <c r="F51" s="9" t="s">
        <v>98</v>
      </c>
      <c r="G51" s="10">
        <v>0.69097222222222232</v>
      </c>
      <c r="H51" s="9" t="s">
        <v>247</v>
      </c>
      <c r="I51" s="9">
        <v>5.85</v>
      </c>
      <c r="J51" s="9" t="s">
        <v>76</v>
      </c>
      <c r="K51" s="9">
        <v>329</v>
      </c>
      <c r="L51" s="9">
        <v>105</v>
      </c>
      <c r="M51" s="9" t="s">
        <v>22</v>
      </c>
      <c r="N51" s="9">
        <v>17</v>
      </c>
      <c r="O51" s="9" t="s">
        <v>55</v>
      </c>
      <c r="P51" s="9" t="s">
        <v>24</v>
      </c>
      <c r="Q51" s="9" t="str">
        <f t="shared" si="0"/>
        <v>None</v>
      </c>
      <c r="R51" s="9">
        <f t="shared" si="1"/>
        <v>52.999999999999972</v>
      </c>
      <c r="S51" s="9">
        <f t="shared" si="2"/>
        <v>2.0000000000001528</v>
      </c>
      <c r="T51" s="9">
        <f t="shared" si="3"/>
        <v>2.9999999999999893</v>
      </c>
      <c r="U51" s="9">
        <f t="shared" si="13"/>
        <v>34.999999999999872</v>
      </c>
      <c r="V51" s="9">
        <f t="shared" si="4"/>
        <v>16</v>
      </c>
      <c r="W51" s="9" t="str">
        <f t="shared" si="5"/>
        <v>Evening</v>
      </c>
      <c r="X51" s="9" t="str">
        <f t="shared" si="6"/>
        <v>Off-Peak</v>
      </c>
      <c r="Y51" s="23">
        <f t="shared" si="7"/>
        <v>0.16714285714285773</v>
      </c>
      <c r="Z51" s="23">
        <f t="shared" si="8"/>
        <v>17.948717948717949</v>
      </c>
      <c r="AA51" s="23">
        <f t="shared" si="9"/>
        <v>0.31914893617021278</v>
      </c>
      <c r="AB51" s="9" t="str">
        <f t="shared" si="10"/>
        <v>Late</v>
      </c>
      <c r="AC51" s="9" t="str">
        <f t="shared" si="11"/>
        <v>No Delay</v>
      </c>
      <c r="AD51" s="64" t="str">
        <f t="shared" si="12"/>
        <v>Long (5+km)</v>
      </c>
    </row>
    <row r="52" spans="1:30" x14ac:dyDescent="0.3">
      <c r="A52" s="8" t="s">
        <v>190</v>
      </c>
      <c r="B52" s="9" t="s">
        <v>543</v>
      </c>
      <c r="C52" s="9" t="s">
        <v>597</v>
      </c>
      <c r="D52" s="9">
        <v>19</v>
      </c>
      <c r="E52" s="9" t="s">
        <v>393</v>
      </c>
      <c r="F52" s="9" t="s">
        <v>259</v>
      </c>
      <c r="G52" s="10">
        <v>0.49305555555555552</v>
      </c>
      <c r="H52" s="9" t="s">
        <v>352</v>
      </c>
      <c r="I52" s="9">
        <v>3.64</v>
      </c>
      <c r="J52" s="9" t="s">
        <v>69</v>
      </c>
      <c r="K52" s="9">
        <v>205</v>
      </c>
      <c r="L52" s="9">
        <v>90</v>
      </c>
      <c r="M52" s="9" t="s">
        <v>22</v>
      </c>
      <c r="N52" s="9">
        <v>16</v>
      </c>
      <c r="O52" s="9" t="s">
        <v>23</v>
      </c>
      <c r="P52" s="9" t="s">
        <v>24</v>
      </c>
      <c r="Q52" s="9" t="str">
        <f t="shared" si="0"/>
        <v>None</v>
      </c>
      <c r="R52" s="9">
        <f t="shared" si="1"/>
        <v>53.999999999999972</v>
      </c>
      <c r="S52" s="9">
        <f t="shared" si="2"/>
        <v>0.99999999999991651</v>
      </c>
      <c r="T52" s="9">
        <f t="shared" si="3"/>
        <v>2.9999999999999893</v>
      </c>
      <c r="U52" s="9">
        <f t="shared" si="13"/>
        <v>30.999999999999972</v>
      </c>
      <c r="V52" s="9">
        <f t="shared" si="4"/>
        <v>11</v>
      </c>
      <c r="W52" s="9" t="str">
        <f t="shared" si="5"/>
        <v>Late Morning</v>
      </c>
      <c r="X52" s="9" t="str">
        <f t="shared" si="6"/>
        <v>Off-Peak</v>
      </c>
      <c r="Y52" s="23">
        <f t="shared" si="7"/>
        <v>0.11741935483870979</v>
      </c>
      <c r="Z52" s="23">
        <f t="shared" si="8"/>
        <v>24.725274725274723</v>
      </c>
      <c r="AA52" s="23">
        <f t="shared" si="9"/>
        <v>0.43902439024390244</v>
      </c>
      <c r="AB52" s="9" t="str">
        <f t="shared" si="10"/>
        <v>Late</v>
      </c>
      <c r="AC52" s="9" t="str">
        <f t="shared" si="11"/>
        <v>No Delay</v>
      </c>
      <c r="AD52" s="64" t="str">
        <f t="shared" si="12"/>
        <v>Medium (2-5km)</v>
      </c>
    </row>
    <row r="53" spans="1:30" x14ac:dyDescent="0.3">
      <c r="A53" s="8" t="s">
        <v>191</v>
      </c>
      <c r="B53" s="9" t="s">
        <v>268</v>
      </c>
      <c r="C53" s="9" t="s">
        <v>597</v>
      </c>
      <c r="D53" s="9">
        <v>16</v>
      </c>
      <c r="E53" s="9" t="s">
        <v>525</v>
      </c>
      <c r="F53" s="9" t="s">
        <v>251</v>
      </c>
      <c r="G53" s="10">
        <v>0.46666666666666662</v>
      </c>
      <c r="H53" s="9" t="s">
        <v>605</v>
      </c>
      <c r="I53" s="9">
        <v>3.44</v>
      </c>
      <c r="J53" s="9" t="s">
        <v>118</v>
      </c>
      <c r="K53" s="9">
        <v>160</v>
      </c>
      <c r="L53" s="9">
        <v>89</v>
      </c>
      <c r="M53" s="9" t="s">
        <v>22</v>
      </c>
      <c r="N53" s="9">
        <v>17</v>
      </c>
      <c r="O53" s="9" t="s">
        <v>23</v>
      </c>
      <c r="P53" s="9" t="s">
        <v>24</v>
      </c>
      <c r="Q53" s="9" t="str">
        <f t="shared" si="0"/>
        <v>None</v>
      </c>
      <c r="R53" s="9">
        <f t="shared" si="1"/>
        <v>50.999999999999979</v>
      </c>
      <c r="S53" s="9">
        <f t="shared" si="2"/>
        <v>0.99999999999991651</v>
      </c>
      <c r="T53" s="9">
        <f t="shared" si="3"/>
        <v>1.9999999999999929</v>
      </c>
      <c r="U53" s="9">
        <f t="shared" si="13"/>
        <v>32.000000000000043</v>
      </c>
      <c r="V53" s="9">
        <f t="shared" si="4"/>
        <v>10</v>
      </c>
      <c r="W53" s="9" t="str">
        <f t="shared" si="5"/>
        <v>Late Morning</v>
      </c>
      <c r="X53" s="9" t="str">
        <f t="shared" si="6"/>
        <v>Off-Peak</v>
      </c>
      <c r="Y53" s="23">
        <f t="shared" si="7"/>
        <v>0.10749999999999986</v>
      </c>
      <c r="Z53" s="23">
        <f t="shared" si="8"/>
        <v>25.872093023255815</v>
      </c>
      <c r="AA53" s="23">
        <f t="shared" si="9"/>
        <v>0.55625000000000002</v>
      </c>
      <c r="AB53" s="9" t="str">
        <f t="shared" si="10"/>
        <v>Late</v>
      </c>
      <c r="AC53" s="9" t="str">
        <f t="shared" si="11"/>
        <v>No Delay</v>
      </c>
      <c r="AD53" s="64" t="str">
        <f t="shared" si="12"/>
        <v>Medium (2-5km)</v>
      </c>
    </row>
    <row r="54" spans="1:30" x14ac:dyDescent="0.3">
      <c r="A54" s="8" t="s">
        <v>195</v>
      </c>
      <c r="B54" s="9" t="s">
        <v>58</v>
      </c>
      <c r="C54" s="9" t="s">
        <v>597</v>
      </c>
      <c r="D54" s="9">
        <v>20</v>
      </c>
      <c r="E54" s="9" t="s">
        <v>117</v>
      </c>
      <c r="F54" s="9" t="s">
        <v>117</v>
      </c>
      <c r="G54" s="10">
        <v>0.49583333333333335</v>
      </c>
      <c r="H54" s="9" t="s">
        <v>73</v>
      </c>
      <c r="I54" s="9">
        <v>6.16</v>
      </c>
      <c r="J54" s="9" t="s">
        <v>90</v>
      </c>
      <c r="K54" s="9">
        <v>185</v>
      </c>
      <c r="L54" s="9">
        <v>113</v>
      </c>
      <c r="M54" s="9" t="s">
        <v>22</v>
      </c>
      <c r="N54" s="9">
        <v>12</v>
      </c>
      <c r="O54" s="9" t="s">
        <v>23</v>
      </c>
      <c r="P54" s="9" t="s">
        <v>24</v>
      </c>
      <c r="Q54" s="9" t="str">
        <f t="shared" si="0"/>
        <v>Distance</v>
      </c>
      <c r="R54" s="9">
        <f t="shared" si="1"/>
        <v>64.000000000000014</v>
      </c>
      <c r="S54" s="9">
        <f t="shared" si="2"/>
        <v>0</v>
      </c>
      <c r="T54" s="9">
        <f t="shared" si="3"/>
        <v>1.9999999999999929</v>
      </c>
      <c r="U54" s="9">
        <f t="shared" si="13"/>
        <v>42.000000000000014</v>
      </c>
      <c r="V54" s="9">
        <f t="shared" si="4"/>
        <v>11</v>
      </c>
      <c r="W54" s="9" t="str">
        <f t="shared" si="5"/>
        <v>Late Morning</v>
      </c>
      <c r="X54" s="9" t="str">
        <f t="shared" si="6"/>
        <v>Off-Peak</v>
      </c>
      <c r="Y54" s="23">
        <f t="shared" si="7"/>
        <v>0.14666666666666661</v>
      </c>
      <c r="Z54" s="23">
        <f t="shared" si="8"/>
        <v>18.344155844155843</v>
      </c>
      <c r="AA54" s="23">
        <f t="shared" si="9"/>
        <v>0.61081081081081079</v>
      </c>
      <c r="AB54" s="9" t="str">
        <f t="shared" si="10"/>
        <v>Late</v>
      </c>
      <c r="AC54" s="9" t="str">
        <f t="shared" si="11"/>
        <v>No Delay</v>
      </c>
      <c r="AD54" s="64" t="str">
        <f t="shared" si="12"/>
        <v>Long (5+km)</v>
      </c>
    </row>
    <row r="55" spans="1:30" x14ac:dyDescent="0.3">
      <c r="A55" s="8" t="s">
        <v>197</v>
      </c>
      <c r="B55" s="9" t="s">
        <v>48</v>
      </c>
      <c r="C55" s="9" t="s">
        <v>597</v>
      </c>
      <c r="D55" s="9">
        <v>13</v>
      </c>
      <c r="E55" s="9" t="s">
        <v>452</v>
      </c>
      <c r="F55" s="9" t="s">
        <v>42</v>
      </c>
      <c r="G55" s="10">
        <v>0.48819444444444443</v>
      </c>
      <c r="H55" s="9" t="s">
        <v>20</v>
      </c>
      <c r="I55" s="9">
        <v>7.58</v>
      </c>
      <c r="J55" s="9" t="s">
        <v>129</v>
      </c>
      <c r="K55" s="9">
        <v>382</v>
      </c>
      <c r="L55" s="9">
        <v>128</v>
      </c>
      <c r="M55" s="9" t="s">
        <v>22</v>
      </c>
      <c r="N55" s="9">
        <v>18</v>
      </c>
      <c r="O55" s="9" t="s">
        <v>23</v>
      </c>
      <c r="P55" s="9" t="s">
        <v>24</v>
      </c>
      <c r="Q55" s="9" t="str">
        <f t="shared" si="0"/>
        <v>Distance</v>
      </c>
      <c r="R55" s="9">
        <f t="shared" si="1"/>
        <v>68.000000000000085</v>
      </c>
      <c r="S55" s="9">
        <f t="shared" si="2"/>
        <v>2.9999999999999893</v>
      </c>
      <c r="T55" s="9">
        <f t="shared" si="3"/>
        <v>3.9999999999999858</v>
      </c>
      <c r="U55" s="9">
        <f t="shared" si="13"/>
        <v>48.000000000000071</v>
      </c>
      <c r="V55" s="9">
        <f t="shared" si="4"/>
        <v>11</v>
      </c>
      <c r="W55" s="9" t="str">
        <f t="shared" si="5"/>
        <v>Late Morning</v>
      </c>
      <c r="X55" s="9" t="str">
        <f t="shared" si="6"/>
        <v>Off-Peak</v>
      </c>
      <c r="Y55" s="23">
        <f t="shared" si="7"/>
        <v>0.15791666666666643</v>
      </c>
      <c r="Z55" s="23">
        <f t="shared" si="8"/>
        <v>16.886543535620053</v>
      </c>
      <c r="AA55" s="23">
        <f t="shared" si="9"/>
        <v>0.33507853403141363</v>
      </c>
      <c r="AB55" s="9" t="str">
        <f t="shared" si="10"/>
        <v>Late</v>
      </c>
      <c r="AC55" s="9" t="str">
        <f t="shared" si="11"/>
        <v>No Delay</v>
      </c>
      <c r="AD55" s="64" t="str">
        <f t="shared" si="12"/>
        <v>Long (5+km)</v>
      </c>
    </row>
    <row r="56" spans="1:30" x14ac:dyDescent="0.3">
      <c r="A56" s="8" t="s">
        <v>201</v>
      </c>
      <c r="B56" s="9" t="s">
        <v>248</v>
      </c>
      <c r="C56" s="9" t="s">
        <v>594</v>
      </c>
      <c r="D56" s="9">
        <v>40</v>
      </c>
      <c r="E56" s="9" t="s">
        <v>128</v>
      </c>
      <c r="F56" s="9" t="s">
        <v>715</v>
      </c>
      <c r="G56" s="10">
        <v>0.76250000000000007</v>
      </c>
      <c r="H56" s="9" t="s">
        <v>718</v>
      </c>
      <c r="I56" s="9">
        <v>4.0199999999999996</v>
      </c>
      <c r="J56" s="9" t="s">
        <v>211</v>
      </c>
      <c r="K56" s="9">
        <v>180</v>
      </c>
      <c r="L56" s="9">
        <v>90</v>
      </c>
      <c r="M56" s="9" t="s">
        <v>22</v>
      </c>
      <c r="N56" s="9">
        <v>13</v>
      </c>
      <c r="O56" s="9" t="s">
        <v>23</v>
      </c>
      <c r="P56" s="9" t="s">
        <v>24</v>
      </c>
      <c r="Q56" s="9" t="str">
        <f t="shared" si="0"/>
        <v>Restaurant Delay</v>
      </c>
      <c r="R56" s="9">
        <f t="shared" si="1"/>
        <v>81.000000000000028</v>
      </c>
      <c r="S56" s="9">
        <f t="shared" si="2"/>
        <v>9.0000000000001279</v>
      </c>
      <c r="T56" s="9">
        <f t="shared" si="3"/>
        <v>0.99999999999999645</v>
      </c>
      <c r="U56" s="9">
        <f t="shared" si="13"/>
        <v>30.99999999999989</v>
      </c>
      <c r="V56" s="9">
        <f t="shared" si="4"/>
        <v>17</v>
      </c>
      <c r="W56" s="9" t="str">
        <f t="shared" si="5"/>
        <v>Evening</v>
      </c>
      <c r="X56" s="9" t="str">
        <f t="shared" si="6"/>
        <v>Peak</v>
      </c>
      <c r="Y56" s="23">
        <f t="shared" si="7"/>
        <v>0.12967741935483915</v>
      </c>
      <c r="Z56" s="23">
        <f t="shared" si="8"/>
        <v>22.388059701492541</v>
      </c>
      <c r="AA56" s="23">
        <f t="shared" si="9"/>
        <v>0.5</v>
      </c>
      <c r="AB56" s="9" t="str">
        <f t="shared" si="10"/>
        <v>Late</v>
      </c>
      <c r="AC56" s="9" t="str">
        <f t="shared" si="11"/>
        <v>No Delay</v>
      </c>
      <c r="AD56" s="64" t="str">
        <f t="shared" si="12"/>
        <v>Medium (2-5km)</v>
      </c>
    </row>
    <row r="57" spans="1:30" x14ac:dyDescent="0.3">
      <c r="A57" s="8" t="s">
        <v>205</v>
      </c>
      <c r="B57" s="9" t="s">
        <v>620</v>
      </c>
      <c r="C57" s="9" t="s">
        <v>597</v>
      </c>
      <c r="D57" s="9">
        <v>18</v>
      </c>
      <c r="E57" s="9" t="s">
        <v>103</v>
      </c>
      <c r="F57" s="9" t="s">
        <v>103</v>
      </c>
      <c r="G57" s="10">
        <v>0.62986111111111109</v>
      </c>
      <c r="H57" s="9" t="s">
        <v>719</v>
      </c>
      <c r="I57" s="9">
        <v>4.7</v>
      </c>
      <c r="J57" s="9" t="s">
        <v>54</v>
      </c>
      <c r="K57" s="9">
        <v>212</v>
      </c>
      <c r="L57" s="9">
        <v>93</v>
      </c>
      <c r="M57" s="9" t="s">
        <v>77</v>
      </c>
      <c r="N57" s="9">
        <v>15</v>
      </c>
      <c r="O57" s="9" t="s">
        <v>55</v>
      </c>
      <c r="P57" s="9" t="s">
        <v>78</v>
      </c>
      <c r="Q57" s="9" t="str">
        <f t="shared" si="0"/>
        <v>Restaurant Delay</v>
      </c>
      <c r="R57" s="9">
        <f t="shared" si="1"/>
        <v>49.000000000000142</v>
      </c>
      <c r="S57" s="9">
        <f t="shared" si="2"/>
        <v>0</v>
      </c>
      <c r="T57" s="9">
        <f t="shared" si="3"/>
        <v>4.9999999999999822</v>
      </c>
      <c r="U57" s="9">
        <f t="shared" si="13"/>
        <v>26.000000000000068</v>
      </c>
      <c r="V57" s="9">
        <f t="shared" si="4"/>
        <v>14</v>
      </c>
      <c r="W57" s="9" t="str">
        <f t="shared" si="5"/>
        <v>Afternoon</v>
      </c>
      <c r="X57" s="9" t="str">
        <f t="shared" si="6"/>
        <v>Off-Peak</v>
      </c>
      <c r="Y57" s="23">
        <f t="shared" si="7"/>
        <v>0.18076923076923029</v>
      </c>
      <c r="Z57" s="23">
        <f t="shared" si="8"/>
        <v>19.787234042553191</v>
      </c>
      <c r="AA57" s="23">
        <f t="shared" si="9"/>
        <v>0.43867924528301888</v>
      </c>
      <c r="AB57" s="9" t="str">
        <f t="shared" si="10"/>
        <v>Late</v>
      </c>
      <c r="AC57" s="9" t="str">
        <f t="shared" si="11"/>
        <v>Restaurant Delay</v>
      </c>
      <c r="AD57" s="64" t="str">
        <f t="shared" si="12"/>
        <v>Medium (2-5km)</v>
      </c>
    </row>
    <row r="58" spans="1:30" x14ac:dyDescent="0.3">
      <c r="A58" s="8" t="s">
        <v>208</v>
      </c>
      <c r="B58" s="9" t="s">
        <v>702</v>
      </c>
      <c r="C58" s="9" t="s">
        <v>597</v>
      </c>
      <c r="D58" s="9">
        <v>12</v>
      </c>
      <c r="E58" s="9" t="s">
        <v>182</v>
      </c>
      <c r="F58" s="9" t="s">
        <v>720</v>
      </c>
      <c r="G58" s="10">
        <v>0.5756944444444444</v>
      </c>
      <c r="H58" s="9" t="s">
        <v>473</v>
      </c>
      <c r="I58" s="9">
        <v>2.91</v>
      </c>
      <c r="J58" s="9" t="s">
        <v>33</v>
      </c>
      <c r="K58" s="9">
        <v>264</v>
      </c>
      <c r="L58" s="9">
        <v>80</v>
      </c>
      <c r="M58" s="9" t="s">
        <v>22</v>
      </c>
      <c r="N58" s="9">
        <v>16</v>
      </c>
      <c r="O58" s="9" t="s">
        <v>23</v>
      </c>
      <c r="P58" s="9" t="s">
        <v>24</v>
      </c>
      <c r="Q58" s="9" t="str">
        <f t="shared" si="0"/>
        <v>None</v>
      </c>
      <c r="R58" s="9">
        <f t="shared" si="1"/>
        <v>41.000000000000014</v>
      </c>
      <c r="S58" s="9">
        <f t="shared" si="2"/>
        <v>1.9999999999999929</v>
      </c>
      <c r="T58" s="9">
        <f t="shared" si="3"/>
        <v>3.9999999999999858</v>
      </c>
      <c r="U58" s="9">
        <f t="shared" si="13"/>
        <v>23.000000000000078</v>
      </c>
      <c r="V58" s="9">
        <f t="shared" si="4"/>
        <v>13</v>
      </c>
      <c r="W58" s="9" t="str">
        <f t="shared" si="5"/>
        <v>Afternoon</v>
      </c>
      <c r="X58" s="9" t="str">
        <f t="shared" si="6"/>
        <v>Peak</v>
      </c>
      <c r="Y58" s="23">
        <f t="shared" si="7"/>
        <v>0.12652173913043435</v>
      </c>
      <c r="Z58" s="23">
        <f t="shared" si="8"/>
        <v>27.491408934707902</v>
      </c>
      <c r="AA58" s="23">
        <f t="shared" si="9"/>
        <v>0.30303030303030304</v>
      </c>
      <c r="AB58" s="9" t="str">
        <f t="shared" si="10"/>
        <v>On-Time</v>
      </c>
      <c r="AC58" s="9" t="str">
        <f t="shared" si="11"/>
        <v>No Delay</v>
      </c>
      <c r="AD58" s="64" t="str">
        <f t="shared" si="12"/>
        <v>Medium (2-5km)</v>
      </c>
    </row>
    <row r="59" spans="1:30" x14ac:dyDescent="0.3">
      <c r="A59" s="8" t="s">
        <v>212</v>
      </c>
      <c r="B59" s="9" t="s">
        <v>461</v>
      </c>
      <c r="C59" s="9" t="s">
        <v>597</v>
      </c>
      <c r="D59" s="9">
        <v>16</v>
      </c>
      <c r="E59" s="9" t="s">
        <v>30</v>
      </c>
      <c r="F59" s="9" t="s">
        <v>418</v>
      </c>
      <c r="G59" s="10">
        <v>0.8256944444444444</v>
      </c>
      <c r="H59" s="9" t="s">
        <v>433</v>
      </c>
      <c r="I59" s="9">
        <v>4.99</v>
      </c>
      <c r="J59" s="9" t="s">
        <v>49</v>
      </c>
      <c r="K59" s="9">
        <v>357</v>
      </c>
      <c r="L59" s="9">
        <v>107</v>
      </c>
      <c r="M59" s="9" t="s">
        <v>22</v>
      </c>
      <c r="N59" s="9">
        <v>8</v>
      </c>
      <c r="O59" s="9" t="s">
        <v>34</v>
      </c>
      <c r="P59" s="9" t="s">
        <v>24</v>
      </c>
      <c r="Q59" s="9" t="str">
        <f t="shared" si="0"/>
        <v>Traffic</v>
      </c>
      <c r="R59" s="9">
        <f t="shared" si="1"/>
        <v>67.999999999999915</v>
      </c>
      <c r="S59" s="9">
        <f t="shared" si="2"/>
        <v>7.9999999999999716</v>
      </c>
      <c r="T59" s="9">
        <f t="shared" si="3"/>
        <v>6.9999999999999751</v>
      </c>
      <c r="U59" s="9">
        <f t="shared" si="13"/>
        <v>37.000000000000028</v>
      </c>
      <c r="V59" s="9">
        <f t="shared" si="4"/>
        <v>19</v>
      </c>
      <c r="W59" s="9" t="str">
        <f t="shared" si="5"/>
        <v>Peak Night</v>
      </c>
      <c r="X59" s="9" t="str">
        <f t="shared" si="6"/>
        <v>Peak</v>
      </c>
      <c r="Y59" s="23">
        <f t="shared" si="7"/>
        <v>0.13486486486486476</v>
      </c>
      <c r="Z59" s="23">
        <f t="shared" si="8"/>
        <v>21.442885771543086</v>
      </c>
      <c r="AA59" s="23">
        <f t="shared" si="9"/>
        <v>0.29971988795518206</v>
      </c>
      <c r="AB59" s="9" t="str">
        <f t="shared" si="10"/>
        <v>Late</v>
      </c>
      <c r="AC59" s="9" t="str">
        <f t="shared" si="11"/>
        <v>No Delay</v>
      </c>
      <c r="AD59" s="64" t="str">
        <f t="shared" si="12"/>
        <v>Medium (2-5km)</v>
      </c>
    </row>
    <row r="60" spans="1:30" x14ac:dyDescent="0.3">
      <c r="A60" s="8" t="s">
        <v>216</v>
      </c>
      <c r="B60" s="9" t="s">
        <v>721</v>
      </c>
      <c r="C60" s="9" t="s">
        <v>594</v>
      </c>
      <c r="D60" s="9">
        <v>25</v>
      </c>
      <c r="E60" s="9" t="s">
        <v>350</v>
      </c>
      <c r="F60" s="9" t="s">
        <v>165</v>
      </c>
      <c r="G60" s="10">
        <v>0.45833333333333331</v>
      </c>
      <c r="H60" s="9" t="s">
        <v>131</v>
      </c>
      <c r="I60" s="9">
        <v>7.75</v>
      </c>
      <c r="J60" s="9" t="s">
        <v>62</v>
      </c>
      <c r="K60" s="9">
        <v>184</v>
      </c>
      <c r="L60" s="9">
        <v>129</v>
      </c>
      <c r="M60" s="9" t="s">
        <v>22</v>
      </c>
      <c r="N60" s="9">
        <v>16</v>
      </c>
      <c r="O60" s="9" t="s">
        <v>23</v>
      </c>
      <c r="P60" s="9" t="s">
        <v>24</v>
      </c>
      <c r="Q60" s="9" t="str">
        <f t="shared" si="0"/>
        <v>Restaurant Delay</v>
      </c>
      <c r="R60" s="9">
        <f t="shared" si="1"/>
        <v>86.999999999999929</v>
      </c>
      <c r="S60" s="9">
        <f t="shared" si="2"/>
        <v>9.9999999999999645</v>
      </c>
      <c r="T60" s="9">
        <f t="shared" si="3"/>
        <v>0.99999999999999645</v>
      </c>
      <c r="U60" s="9">
        <f t="shared" si="13"/>
        <v>50.999999999999979</v>
      </c>
      <c r="V60" s="9">
        <f t="shared" si="4"/>
        <v>10</v>
      </c>
      <c r="W60" s="9" t="str">
        <f t="shared" si="5"/>
        <v>Late Morning</v>
      </c>
      <c r="X60" s="9" t="str">
        <f t="shared" si="6"/>
        <v>Off-Peak</v>
      </c>
      <c r="Y60" s="23">
        <f t="shared" si="7"/>
        <v>0.15196078431372556</v>
      </c>
      <c r="Z60" s="23">
        <f t="shared" si="8"/>
        <v>16.64516129032258</v>
      </c>
      <c r="AA60" s="23">
        <f t="shared" si="9"/>
        <v>0.70108695652173914</v>
      </c>
      <c r="AB60" s="9" t="str">
        <f t="shared" si="10"/>
        <v>Late</v>
      </c>
      <c r="AC60" s="9" t="str">
        <f t="shared" si="11"/>
        <v>No Delay</v>
      </c>
      <c r="AD60" s="64" t="str">
        <f t="shared" si="12"/>
        <v>Long (5+km)</v>
      </c>
    </row>
    <row r="61" spans="1:30" x14ac:dyDescent="0.3">
      <c r="A61" s="8" t="s">
        <v>219</v>
      </c>
      <c r="B61" s="9" t="s">
        <v>86</v>
      </c>
      <c r="C61" s="9" t="s">
        <v>597</v>
      </c>
      <c r="D61" s="9">
        <v>14</v>
      </c>
      <c r="E61" s="9" t="s">
        <v>88</v>
      </c>
      <c r="F61" s="9" t="s">
        <v>666</v>
      </c>
      <c r="G61" s="10">
        <v>0.78541666666666665</v>
      </c>
      <c r="H61" s="9" t="s">
        <v>344</v>
      </c>
      <c r="I61" s="9">
        <v>5.74</v>
      </c>
      <c r="J61" s="9" t="s">
        <v>76</v>
      </c>
      <c r="K61" s="9">
        <v>333</v>
      </c>
      <c r="L61" s="9">
        <v>111</v>
      </c>
      <c r="M61" s="9" t="s">
        <v>77</v>
      </c>
      <c r="N61" s="9">
        <v>15</v>
      </c>
      <c r="O61" s="9" t="s">
        <v>23</v>
      </c>
      <c r="P61" s="9" t="s">
        <v>78</v>
      </c>
      <c r="Q61" s="9" t="str">
        <f t="shared" si="0"/>
        <v>Restaurant Delay</v>
      </c>
      <c r="R61" s="9">
        <f t="shared" si="1"/>
        <v>60.000000000000107</v>
      </c>
      <c r="S61" s="9">
        <f t="shared" si="2"/>
        <v>1.9999999999999929</v>
      </c>
      <c r="T61" s="9">
        <f t="shared" si="3"/>
        <v>2.9999999999999893</v>
      </c>
      <c r="U61" s="9">
        <f t="shared" si="13"/>
        <v>41.000000000000171</v>
      </c>
      <c r="V61" s="9">
        <f t="shared" si="4"/>
        <v>18</v>
      </c>
      <c r="W61" s="9" t="str">
        <f t="shared" si="5"/>
        <v>Peak Night</v>
      </c>
      <c r="X61" s="9" t="str">
        <f t="shared" si="6"/>
        <v>Peak</v>
      </c>
      <c r="Y61" s="23">
        <f t="shared" si="7"/>
        <v>0.13999999999999943</v>
      </c>
      <c r="Z61" s="23">
        <f t="shared" si="8"/>
        <v>19.337979094076655</v>
      </c>
      <c r="AA61" s="23">
        <f t="shared" si="9"/>
        <v>0.33333333333333331</v>
      </c>
      <c r="AB61" s="9" t="str">
        <f t="shared" si="10"/>
        <v>Late</v>
      </c>
      <c r="AC61" s="9" t="str">
        <f t="shared" si="11"/>
        <v>Restaurant Delay</v>
      </c>
      <c r="AD61" s="64" t="str">
        <f t="shared" si="12"/>
        <v>Long (5+km)</v>
      </c>
    </row>
    <row r="62" spans="1:30" x14ac:dyDescent="0.3">
      <c r="A62" s="8" t="s">
        <v>224</v>
      </c>
      <c r="B62" s="9" t="s">
        <v>186</v>
      </c>
      <c r="C62" s="9" t="s">
        <v>597</v>
      </c>
      <c r="D62" s="9">
        <v>16</v>
      </c>
      <c r="E62" s="9" t="s">
        <v>722</v>
      </c>
      <c r="F62" s="9" t="s">
        <v>281</v>
      </c>
      <c r="G62" s="10">
        <v>0.68125000000000002</v>
      </c>
      <c r="H62" s="9" t="s">
        <v>723</v>
      </c>
      <c r="I62" s="9">
        <v>5.78</v>
      </c>
      <c r="J62" s="9" t="s">
        <v>40</v>
      </c>
      <c r="K62" s="9">
        <v>384</v>
      </c>
      <c r="L62" s="9">
        <v>107</v>
      </c>
      <c r="M62" s="9" t="s">
        <v>22</v>
      </c>
      <c r="N62" s="9">
        <v>17</v>
      </c>
      <c r="O62" s="9" t="s">
        <v>55</v>
      </c>
      <c r="P62" s="9" t="s">
        <v>24</v>
      </c>
      <c r="Q62" s="9" t="str">
        <f t="shared" si="0"/>
        <v>None</v>
      </c>
      <c r="R62" s="9">
        <f t="shared" si="1"/>
        <v>58.99999999999995</v>
      </c>
      <c r="S62" s="9">
        <f t="shared" si="2"/>
        <v>2.9999999999999893</v>
      </c>
      <c r="T62" s="9">
        <f t="shared" si="3"/>
        <v>3.9999999999999858</v>
      </c>
      <c r="U62" s="9">
        <f t="shared" si="13"/>
        <v>35.999999999999872</v>
      </c>
      <c r="V62" s="9">
        <f t="shared" si="4"/>
        <v>15</v>
      </c>
      <c r="W62" s="9" t="str">
        <f t="shared" si="5"/>
        <v>Evening</v>
      </c>
      <c r="X62" s="9" t="str">
        <f t="shared" si="6"/>
        <v>Off-Peak</v>
      </c>
      <c r="Y62" s="23">
        <f t="shared" si="7"/>
        <v>0.16055555555555615</v>
      </c>
      <c r="Z62" s="23">
        <f t="shared" si="8"/>
        <v>18.512110726643598</v>
      </c>
      <c r="AA62" s="23">
        <f t="shared" si="9"/>
        <v>0.27864583333333331</v>
      </c>
      <c r="AB62" s="9" t="str">
        <f t="shared" si="10"/>
        <v>Late</v>
      </c>
      <c r="AC62" s="9" t="str">
        <f t="shared" si="11"/>
        <v>No Delay</v>
      </c>
      <c r="AD62" s="64" t="str">
        <f t="shared" si="12"/>
        <v>Long (5+km)</v>
      </c>
    </row>
    <row r="63" spans="1:30" x14ac:dyDescent="0.3">
      <c r="A63" s="8" t="s">
        <v>227</v>
      </c>
      <c r="B63" s="9" t="s">
        <v>653</v>
      </c>
      <c r="C63" s="9" t="s">
        <v>597</v>
      </c>
      <c r="D63" s="9">
        <v>10</v>
      </c>
      <c r="E63" s="9" t="s">
        <v>700</v>
      </c>
      <c r="F63" s="9" t="s">
        <v>608</v>
      </c>
      <c r="G63" s="10">
        <v>0.69652777777777775</v>
      </c>
      <c r="H63" s="9" t="s">
        <v>651</v>
      </c>
      <c r="I63" s="9">
        <v>5.19</v>
      </c>
      <c r="J63" s="9" t="s">
        <v>90</v>
      </c>
      <c r="K63" s="9">
        <v>268</v>
      </c>
      <c r="L63" s="9">
        <v>101</v>
      </c>
      <c r="M63" s="9" t="s">
        <v>22</v>
      </c>
      <c r="N63" s="9">
        <v>17</v>
      </c>
      <c r="O63" s="9" t="s">
        <v>55</v>
      </c>
      <c r="P63" s="9" t="s">
        <v>24</v>
      </c>
      <c r="Q63" s="9" t="str">
        <f t="shared" si="0"/>
        <v>None</v>
      </c>
      <c r="R63" s="9">
        <f t="shared" si="1"/>
        <v>47.999999999999986</v>
      </c>
      <c r="S63" s="9">
        <f t="shared" si="2"/>
        <v>0.99999999999999645</v>
      </c>
      <c r="T63" s="9">
        <f t="shared" si="3"/>
        <v>0.99999999999999645</v>
      </c>
      <c r="U63" s="9">
        <f t="shared" si="13"/>
        <v>36.000000000000028</v>
      </c>
      <c r="V63" s="9">
        <f t="shared" si="4"/>
        <v>16</v>
      </c>
      <c r="W63" s="9" t="str">
        <f t="shared" si="5"/>
        <v>Evening</v>
      </c>
      <c r="X63" s="9" t="str">
        <f t="shared" si="6"/>
        <v>Off-Peak</v>
      </c>
      <c r="Y63" s="23">
        <f t="shared" si="7"/>
        <v>0.14416666666666655</v>
      </c>
      <c r="Z63" s="23">
        <f t="shared" si="8"/>
        <v>19.460500963391134</v>
      </c>
      <c r="AA63" s="23">
        <f t="shared" si="9"/>
        <v>0.37686567164179102</v>
      </c>
      <c r="AB63" s="9" t="str">
        <f t="shared" si="10"/>
        <v>Late</v>
      </c>
      <c r="AC63" s="9" t="str">
        <f t="shared" si="11"/>
        <v>No Delay</v>
      </c>
      <c r="AD63" s="64" t="str">
        <f t="shared" si="12"/>
        <v>Long (5+km)</v>
      </c>
    </row>
    <row r="64" spans="1:30" x14ac:dyDescent="0.3">
      <c r="A64" s="8" t="s">
        <v>231</v>
      </c>
      <c r="B64" s="9" t="s">
        <v>718</v>
      </c>
      <c r="C64" s="9" t="s">
        <v>597</v>
      </c>
      <c r="D64" s="9">
        <v>14</v>
      </c>
      <c r="E64" s="9" t="s">
        <v>395</v>
      </c>
      <c r="F64" s="9" t="s">
        <v>687</v>
      </c>
      <c r="G64" s="10">
        <v>0.79722222222222217</v>
      </c>
      <c r="H64" s="9" t="s">
        <v>110</v>
      </c>
      <c r="I64" s="9">
        <v>4.1500000000000004</v>
      </c>
      <c r="J64" s="9" t="s">
        <v>40</v>
      </c>
      <c r="K64" s="9">
        <v>150</v>
      </c>
      <c r="L64" s="9">
        <v>92</v>
      </c>
      <c r="M64" s="9" t="s">
        <v>22</v>
      </c>
      <c r="N64" s="9">
        <v>17</v>
      </c>
      <c r="O64" s="9" t="s">
        <v>23</v>
      </c>
      <c r="P64" s="9" t="s">
        <v>24</v>
      </c>
      <c r="Q64" s="9" t="str">
        <f t="shared" si="0"/>
        <v>None</v>
      </c>
      <c r="R64" s="9">
        <f t="shared" si="1"/>
        <v>47.999999999999986</v>
      </c>
      <c r="S64" s="9">
        <f t="shared" si="2"/>
        <v>0.99999999999983658</v>
      </c>
      <c r="T64" s="9">
        <f t="shared" si="3"/>
        <v>3.9999999999999858</v>
      </c>
      <c r="U64" s="9">
        <f t="shared" si="13"/>
        <v>29.000000000000057</v>
      </c>
      <c r="V64" s="9">
        <f t="shared" si="4"/>
        <v>18</v>
      </c>
      <c r="W64" s="9" t="str">
        <f t="shared" si="5"/>
        <v>Peak Night</v>
      </c>
      <c r="X64" s="9" t="str">
        <f t="shared" si="6"/>
        <v>Peak</v>
      </c>
      <c r="Y64" s="23">
        <f t="shared" si="7"/>
        <v>0.1431034482758618</v>
      </c>
      <c r="Z64" s="23">
        <f t="shared" si="8"/>
        <v>22.168674698795179</v>
      </c>
      <c r="AA64" s="23">
        <f t="shared" si="9"/>
        <v>0.61333333333333329</v>
      </c>
      <c r="AB64" s="9" t="str">
        <f t="shared" si="10"/>
        <v>Late</v>
      </c>
      <c r="AC64" s="9" t="str">
        <f t="shared" si="11"/>
        <v>No Delay</v>
      </c>
      <c r="AD64" s="64" t="str">
        <f t="shared" si="12"/>
        <v>Medium (2-5km)</v>
      </c>
    </row>
    <row r="65" spans="1:30" x14ac:dyDescent="0.3">
      <c r="A65" s="8" t="s">
        <v>232</v>
      </c>
      <c r="B65" s="9" t="s">
        <v>159</v>
      </c>
      <c r="C65" s="9" t="s">
        <v>597</v>
      </c>
      <c r="D65" s="9">
        <v>16</v>
      </c>
      <c r="E65" s="9" t="s">
        <v>557</v>
      </c>
      <c r="F65" s="9" t="s">
        <v>557</v>
      </c>
      <c r="G65" s="10">
        <v>0.8472222222222221</v>
      </c>
      <c r="H65" s="9" t="s">
        <v>724</v>
      </c>
      <c r="I65" s="9">
        <v>5.09</v>
      </c>
      <c r="J65" s="9" t="s">
        <v>160</v>
      </c>
      <c r="K65" s="9">
        <v>340</v>
      </c>
      <c r="L65" s="9">
        <v>114</v>
      </c>
      <c r="M65" s="9" t="s">
        <v>22</v>
      </c>
      <c r="N65" s="9">
        <v>10</v>
      </c>
      <c r="O65" s="9" t="s">
        <v>34</v>
      </c>
      <c r="P65" s="9" t="s">
        <v>24</v>
      </c>
      <c r="Q65" s="9" t="str">
        <f t="shared" si="0"/>
        <v>Traffic</v>
      </c>
      <c r="R65" s="9">
        <f t="shared" si="1"/>
        <v>67.000000000000085</v>
      </c>
      <c r="S65" s="9">
        <f t="shared" si="2"/>
        <v>0</v>
      </c>
      <c r="T65" s="9">
        <f t="shared" si="3"/>
        <v>10.999999999999961</v>
      </c>
      <c r="U65" s="9">
        <f t="shared" si="13"/>
        <v>40.000000000000178</v>
      </c>
      <c r="V65" s="9">
        <f t="shared" si="4"/>
        <v>19</v>
      </c>
      <c r="W65" s="9" t="str">
        <f t="shared" si="5"/>
        <v>Peak Night</v>
      </c>
      <c r="X65" s="9" t="str">
        <f t="shared" si="6"/>
        <v>Peak</v>
      </c>
      <c r="Y65" s="23">
        <f t="shared" si="7"/>
        <v>0.12724999999999942</v>
      </c>
      <c r="Z65" s="23">
        <f t="shared" si="8"/>
        <v>22.396856581532418</v>
      </c>
      <c r="AA65" s="23">
        <f t="shared" si="9"/>
        <v>0.3352941176470588</v>
      </c>
      <c r="AB65" s="9" t="str">
        <f t="shared" si="10"/>
        <v>Late</v>
      </c>
      <c r="AC65" s="9" t="str">
        <f t="shared" si="11"/>
        <v>No Delay</v>
      </c>
      <c r="AD65" s="64" t="str">
        <f t="shared" si="12"/>
        <v>Long (5+km)</v>
      </c>
    </row>
    <row r="66" spans="1:30" x14ac:dyDescent="0.3">
      <c r="A66" s="8" t="s">
        <v>235</v>
      </c>
      <c r="B66" s="9" t="s">
        <v>649</v>
      </c>
      <c r="C66" s="9" t="s">
        <v>597</v>
      </c>
      <c r="D66" s="9">
        <v>16</v>
      </c>
      <c r="E66" s="9" t="s">
        <v>636</v>
      </c>
      <c r="F66" s="9" t="s">
        <v>725</v>
      </c>
      <c r="G66" s="10">
        <v>0.63750000000000007</v>
      </c>
      <c r="H66" s="9" t="s">
        <v>438</v>
      </c>
      <c r="I66" s="9">
        <v>2.09</v>
      </c>
      <c r="J66" s="9" t="s">
        <v>33</v>
      </c>
      <c r="K66" s="9">
        <v>366</v>
      </c>
      <c r="L66" s="9">
        <v>70</v>
      </c>
      <c r="M66" s="9" t="s">
        <v>22</v>
      </c>
      <c r="N66" s="9">
        <v>20</v>
      </c>
      <c r="O66" s="9" t="s">
        <v>55</v>
      </c>
      <c r="P66" s="9" t="s">
        <v>24</v>
      </c>
      <c r="Q66" s="9" t="str">
        <f t="shared" si="0"/>
        <v>None</v>
      </c>
      <c r="R66" s="9">
        <f t="shared" si="1"/>
        <v>41.000000000000014</v>
      </c>
      <c r="S66" s="9">
        <f t="shared" si="2"/>
        <v>3.0000000000001492</v>
      </c>
      <c r="T66" s="9">
        <f t="shared" si="3"/>
        <v>1.9999999999999929</v>
      </c>
      <c r="U66" s="9">
        <f t="shared" si="13"/>
        <v>19.999999999999929</v>
      </c>
      <c r="V66" s="9">
        <f t="shared" si="4"/>
        <v>14</v>
      </c>
      <c r="W66" s="9" t="str">
        <f t="shared" si="5"/>
        <v>Afternoon</v>
      </c>
      <c r="X66" s="9" t="str">
        <f t="shared" si="6"/>
        <v>Off-Peak</v>
      </c>
      <c r="Y66" s="23">
        <f t="shared" si="7"/>
        <v>0.10450000000000037</v>
      </c>
      <c r="Z66" s="23">
        <f t="shared" si="8"/>
        <v>33.492822966507177</v>
      </c>
      <c r="AA66" s="23">
        <f t="shared" si="9"/>
        <v>0.19125683060109289</v>
      </c>
      <c r="AB66" s="9" t="str">
        <f t="shared" si="10"/>
        <v>On-Time</v>
      </c>
      <c r="AC66" s="9" t="str">
        <f t="shared" si="11"/>
        <v>No Delay</v>
      </c>
      <c r="AD66" s="64" t="str">
        <f t="shared" si="12"/>
        <v>Medium (2-5km)</v>
      </c>
    </row>
    <row r="67" spans="1:30" x14ac:dyDescent="0.3">
      <c r="A67" s="8" t="s">
        <v>237</v>
      </c>
      <c r="B67" s="9" t="s">
        <v>583</v>
      </c>
      <c r="C67" s="9" t="s">
        <v>597</v>
      </c>
      <c r="D67" s="9">
        <v>19</v>
      </c>
      <c r="E67" s="9" t="s">
        <v>59</v>
      </c>
      <c r="F67" s="9" t="s">
        <v>726</v>
      </c>
      <c r="G67" s="10">
        <v>0.48680555555555555</v>
      </c>
      <c r="H67" s="9" t="s">
        <v>367</v>
      </c>
      <c r="I67" s="9">
        <v>7.39</v>
      </c>
      <c r="J67" s="9" t="s">
        <v>211</v>
      </c>
      <c r="K67" s="9">
        <v>289</v>
      </c>
      <c r="L67" s="9">
        <v>125</v>
      </c>
      <c r="M67" s="9" t="s">
        <v>22</v>
      </c>
      <c r="N67" s="9">
        <v>12</v>
      </c>
      <c r="O67" s="9" t="s">
        <v>23</v>
      </c>
      <c r="P67" s="9" t="s">
        <v>24</v>
      </c>
      <c r="Q67" s="9" t="str">
        <f t="shared" ref="Q67:Q130" si="14">IF(M67="Failed",
IF(O67="High","Traffic",
IF(N67&lt;10,"No Rider","Restaurant Delay")),
IF(((H67-B67)*1440 - (D67 + I67*5))&lt;=7,"None",
IF(O67="High","Traffic",
IF(N67&lt;10,"No Rider",
IF(C67="Bulk","Restaurant Delay",
IF(I67&gt;=6,"Distance","None"))))))</f>
        <v>Distance</v>
      </c>
      <c r="R67" s="9">
        <f t="shared" ref="R67:R130" si="15">(H67-B67)*1440</f>
        <v>71.999999999999901</v>
      </c>
      <c r="S67" s="9">
        <f t="shared" ref="S67:S130" si="16">(F67-E67)*1440</f>
        <v>2.9999999999999893</v>
      </c>
      <c r="T67" s="9">
        <f t="shared" ref="T67:T130" si="17">(G67-F67)*1440</f>
        <v>3.9999999999999858</v>
      </c>
      <c r="U67" s="9">
        <f t="shared" si="13"/>
        <v>45.999999999999915</v>
      </c>
      <c r="V67" s="9">
        <f t="shared" ref="V67:V130" si="18">HOUR(B67)</f>
        <v>11</v>
      </c>
      <c r="W67" s="9" t="str">
        <f t="shared" ref="W67:W130" si="19">IF(HOUR(B67)&gt;=10,IF(HOUR(B67)&lt;12,"Late Morning",IF(HOUR(B67)&lt;15,"Afternoon",IF(HOUR(B67)&lt;18,"Evening",IF(HOUR(B67)&lt;21,"Peak Night","Late Night")))),"Morning")</f>
        <v>Late Morning</v>
      </c>
      <c r="X67" s="9" t="str">
        <f t="shared" ref="X67:X130" si="20">IF(OR(AND(HOUR(B67)&gt;=12,HOUR(B67)&lt;14),AND(HOUR(B67)&gt;=17,HOUR(B67)&lt;21)),"Peak","Off-Peak")</f>
        <v>Off-Peak</v>
      </c>
      <c r="Y67" s="23">
        <f t="shared" ref="Y67:Y130" si="21">I67/U67</f>
        <v>0.16065217391304376</v>
      </c>
      <c r="Z67" s="23">
        <f t="shared" ref="Z67:Z130" si="22">L67/I67</f>
        <v>16.914749661705006</v>
      </c>
      <c r="AA67" s="23">
        <f t="shared" ref="AA67:AA130" si="23">L67/K67</f>
        <v>0.43252595155709345</v>
      </c>
      <c r="AB67" s="9" t="str">
        <f t="shared" ref="AB67:AB130" si="24">IF((H67-B67)*1440&gt;45,"Late","On-Time")</f>
        <v>Late</v>
      </c>
      <c r="AC67" s="9" t="str">
        <f t="shared" ref="AC67:AC130" si="25">IF(P67="Yes",Q67,"No Delay")</f>
        <v>No Delay</v>
      </c>
      <c r="AD67" s="64" t="str">
        <f t="shared" ref="AD67:AD130" si="26">IF(I67&lt;=2,"Short (0-2km)",IF(I67&lt;=5,"Medium (2-5km)","Long (5+km)"))</f>
        <v>Long (5+km)</v>
      </c>
    </row>
    <row r="68" spans="1:30" x14ac:dyDescent="0.3">
      <c r="A68" s="8" t="s">
        <v>240</v>
      </c>
      <c r="B68" s="9" t="s">
        <v>688</v>
      </c>
      <c r="C68" s="9" t="s">
        <v>597</v>
      </c>
      <c r="D68" s="9">
        <v>14</v>
      </c>
      <c r="E68" s="9" t="s">
        <v>176</v>
      </c>
      <c r="F68" s="9" t="s">
        <v>176</v>
      </c>
      <c r="G68" s="10">
        <v>0.53541666666666665</v>
      </c>
      <c r="H68" s="9" t="s">
        <v>92</v>
      </c>
      <c r="I68" s="9">
        <v>4.2699999999999996</v>
      </c>
      <c r="J68" s="9" t="s">
        <v>69</v>
      </c>
      <c r="K68" s="9">
        <v>175</v>
      </c>
      <c r="L68" s="9">
        <v>93</v>
      </c>
      <c r="M68" s="9" t="s">
        <v>22</v>
      </c>
      <c r="N68" s="9">
        <v>15</v>
      </c>
      <c r="O68" s="9" t="s">
        <v>23</v>
      </c>
      <c r="P68" s="9" t="s">
        <v>24</v>
      </c>
      <c r="Q68" s="9" t="str">
        <f t="shared" si="14"/>
        <v>None</v>
      </c>
      <c r="R68" s="9">
        <f t="shared" si="15"/>
        <v>47.999999999999986</v>
      </c>
      <c r="S68" s="9">
        <f t="shared" si="16"/>
        <v>0</v>
      </c>
      <c r="T68" s="9">
        <f t="shared" si="17"/>
        <v>1.9999999999999929</v>
      </c>
      <c r="U68" s="9">
        <f t="shared" ref="U68:U131" si="27">(H68-G68)*1440</f>
        <v>32.000000000000043</v>
      </c>
      <c r="V68" s="9">
        <f t="shared" si="18"/>
        <v>12</v>
      </c>
      <c r="W68" s="9" t="str">
        <f t="shared" si="19"/>
        <v>Afternoon</v>
      </c>
      <c r="X68" s="9" t="str">
        <f t="shared" si="20"/>
        <v>Peak</v>
      </c>
      <c r="Y68" s="23">
        <f t="shared" si="21"/>
        <v>0.13343749999999982</v>
      </c>
      <c r="Z68" s="23">
        <f t="shared" si="22"/>
        <v>21.779859484777521</v>
      </c>
      <c r="AA68" s="23">
        <f t="shared" si="23"/>
        <v>0.53142857142857147</v>
      </c>
      <c r="AB68" s="9" t="str">
        <f t="shared" si="24"/>
        <v>Late</v>
      </c>
      <c r="AC68" s="9" t="str">
        <f t="shared" si="25"/>
        <v>No Delay</v>
      </c>
      <c r="AD68" s="64" t="str">
        <f t="shared" si="26"/>
        <v>Medium (2-5km)</v>
      </c>
    </row>
    <row r="69" spans="1:30" x14ac:dyDescent="0.3">
      <c r="A69" s="8" t="s">
        <v>242</v>
      </c>
      <c r="B69" s="9" t="s">
        <v>36</v>
      </c>
      <c r="C69" s="9" t="s">
        <v>594</v>
      </c>
      <c r="D69" s="9">
        <v>27</v>
      </c>
      <c r="E69" s="9" t="s">
        <v>275</v>
      </c>
      <c r="F69" s="9" t="s">
        <v>571</v>
      </c>
      <c r="G69" s="10">
        <v>0.74444444444444446</v>
      </c>
      <c r="H69" s="9" t="s">
        <v>128</v>
      </c>
      <c r="I69" s="9">
        <v>1.1399999999999999</v>
      </c>
      <c r="J69" s="9" t="s">
        <v>62</v>
      </c>
      <c r="K69" s="9">
        <v>191</v>
      </c>
      <c r="L69" s="9">
        <v>64</v>
      </c>
      <c r="M69" s="9" t="s">
        <v>22</v>
      </c>
      <c r="N69" s="9">
        <v>17</v>
      </c>
      <c r="O69" s="9" t="s">
        <v>23</v>
      </c>
      <c r="P69" s="9" t="s">
        <v>24</v>
      </c>
      <c r="Q69" s="9" t="str">
        <f t="shared" si="14"/>
        <v>Restaurant Delay</v>
      </c>
      <c r="R69" s="9">
        <f t="shared" si="15"/>
        <v>55.999999999999957</v>
      </c>
      <c r="S69" s="9">
        <f t="shared" si="16"/>
        <v>9.0000000000001279</v>
      </c>
      <c r="T69" s="9">
        <f t="shared" si="17"/>
        <v>3.9999999999999858</v>
      </c>
      <c r="U69" s="9">
        <f t="shared" si="27"/>
        <v>15.999999999999943</v>
      </c>
      <c r="V69" s="9">
        <f t="shared" si="18"/>
        <v>17</v>
      </c>
      <c r="W69" s="9" t="str">
        <f t="shared" si="19"/>
        <v>Evening</v>
      </c>
      <c r="X69" s="9" t="str">
        <f t="shared" si="20"/>
        <v>Peak</v>
      </c>
      <c r="Y69" s="23">
        <f t="shared" si="21"/>
        <v>7.1250000000000244E-2</v>
      </c>
      <c r="Z69" s="23">
        <f t="shared" si="22"/>
        <v>56.140350877192986</v>
      </c>
      <c r="AA69" s="23">
        <f t="shared" si="23"/>
        <v>0.33507853403141363</v>
      </c>
      <c r="AB69" s="9" t="str">
        <f t="shared" si="24"/>
        <v>Late</v>
      </c>
      <c r="AC69" s="9" t="str">
        <f t="shared" si="25"/>
        <v>No Delay</v>
      </c>
      <c r="AD69" s="64" t="str">
        <f t="shared" si="26"/>
        <v>Short (0-2km)</v>
      </c>
    </row>
    <row r="70" spans="1:30" x14ac:dyDescent="0.3">
      <c r="A70" s="8" t="s">
        <v>245</v>
      </c>
      <c r="B70" s="9" t="s">
        <v>601</v>
      </c>
      <c r="C70" s="9" t="s">
        <v>597</v>
      </c>
      <c r="D70" s="9">
        <v>14</v>
      </c>
      <c r="E70" s="9" t="s">
        <v>71</v>
      </c>
      <c r="F70" s="9" t="s">
        <v>712</v>
      </c>
      <c r="G70" s="10">
        <v>0.71319444444444446</v>
      </c>
      <c r="H70" s="9" t="s">
        <v>37</v>
      </c>
      <c r="I70" s="9">
        <v>2.46</v>
      </c>
      <c r="J70" s="9" t="s">
        <v>54</v>
      </c>
      <c r="K70" s="9">
        <v>235</v>
      </c>
      <c r="L70" s="9">
        <v>71</v>
      </c>
      <c r="M70" s="9" t="s">
        <v>22</v>
      </c>
      <c r="N70" s="9">
        <v>19</v>
      </c>
      <c r="O70" s="9" t="s">
        <v>55</v>
      </c>
      <c r="P70" s="9" t="s">
        <v>24</v>
      </c>
      <c r="Q70" s="9" t="str">
        <f t="shared" si="14"/>
        <v>None</v>
      </c>
      <c r="R70" s="9">
        <f t="shared" si="15"/>
        <v>35.999999999999872</v>
      </c>
      <c r="S70" s="9">
        <f t="shared" si="16"/>
        <v>1.0000000000001563</v>
      </c>
      <c r="T70" s="9">
        <f t="shared" si="17"/>
        <v>0.99999999999999645</v>
      </c>
      <c r="U70" s="9">
        <f t="shared" si="27"/>
        <v>19.999999999999929</v>
      </c>
      <c r="V70" s="9">
        <f t="shared" si="18"/>
        <v>16</v>
      </c>
      <c r="W70" s="9" t="str">
        <f t="shared" si="19"/>
        <v>Evening</v>
      </c>
      <c r="X70" s="9" t="str">
        <f t="shared" si="20"/>
        <v>Off-Peak</v>
      </c>
      <c r="Y70" s="23">
        <f t="shared" si="21"/>
        <v>0.12300000000000043</v>
      </c>
      <c r="Z70" s="23">
        <f t="shared" si="22"/>
        <v>28.86178861788618</v>
      </c>
      <c r="AA70" s="23">
        <f t="shared" si="23"/>
        <v>0.30212765957446808</v>
      </c>
      <c r="AB70" s="9" t="str">
        <f t="shared" si="24"/>
        <v>On-Time</v>
      </c>
      <c r="AC70" s="9" t="str">
        <f t="shared" si="25"/>
        <v>No Delay</v>
      </c>
      <c r="AD70" s="64" t="str">
        <f t="shared" si="26"/>
        <v>Medium (2-5km)</v>
      </c>
    </row>
    <row r="71" spans="1:30" x14ac:dyDescent="0.3">
      <c r="A71" s="8" t="s">
        <v>246</v>
      </c>
      <c r="B71" s="9" t="s">
        <v>251</v>
      </c>
      <c r="C71" s="9" t="s">
        <v>594</v>
      </c>
      <c r="D71" s="9">
        <v>36</v>
      </c>
      <c r="E71" s="9" t="s">
        <v>393</v>
      </c>
      <c r="F71" s="9" t="s">
        <v>131</v>
      </c>
      <c r="G71" s="10">
        <v>0.49444444444444441</v>
      </c>
      <c r="H71" s="9" t="s">
        <v>20</v>
      </c>
      <c r="I71" s="9">
        <v>4.9000000000000004</v>
      </c>
      <c r="J71" s="9" t="s">
        <v>21</v>
      </c>
      <c r="K71" s="9">
        <v>317</v>
      </c>
      <c r="L71" s="9">
        <v>103</v>
      </c>
      <c r="M71" s="9" t="s">
        <v>22</v>
      </c>
      <c r="N71" s="9">
        <v>15</v>
      </c>
      <c r="O71" s="9" t="s">
        <v>23</v>
      </c>
      <c r="P71" s="9" t="s">
        <v>24</v>
      </c>
      <c r="Q71" s="9" t="str">
        <f t="shared" si="14"/>
        <v>Restaurant Delay</v>
      </c>
      <c r="R71" s="9">
        <f t="shared" si="15"/>
        <v>81.000000000000114</v>
      </c>
      <c r="S71" s="9">
        <f t="shared" si="16"/>
        <v>4.9999999999999023</v>
      </c>
      <c r="T71" s="9">
        <f t="shared" si="17"/>
        <v>0.99999999999999645</v>
      </c>
      <c r="U71" s="9">
        <f t="shared" si="27"/>
        <v>39.000000000000099</v>
      </c>
      <c r="V71" s="9">
        <f t="shared" si="18"/>
        <v>11</v>
      </c>
      <c r="W71" s="9" t="str">
        <f t="shared" si="19"/>
        <v>Late Morning</v>
      </c>
      <c r="X71" s="9" t="str">
        <f t="shared" si="20"/>
        <v>Off-Peak</v>
      </c>
      <c r="Y71" s="23">
        <f t="shared" si="21"/>
        <v>0.12564102564102533</v>
      </c>
      <c r="Z71" s="23">
        <f t="shared" si="22"/>
        <v>21.020408163265305</v>
      </c>
      <c r="AA71" s="23">
        <f t="shared" si="23"/>
        <v>0.32492113564668768</v>
      </c>
      <c r="AB71" s="9" t="str">
        <f t="shared" si="24"/>
        <v>Late</v>
      </c>
      <c r="AC71" s="9" t="str">
        <f t="shared" si="25"/>
        <v>No Delay</v>
      </c>
      <c r="AD71" s="64" t="str">
        <f t="shared" si="26"/>
        <v>Medium (2-5km)</v>
      </c>
    </row>
    <row r="72" spans="1:30" x14ac:dyDescent="0.3">
      <c r="A72" s="8" t="s">
        <v>250</v>
      </c>
      <c r="B72" s="9" t="s">
        <v>234</v>
      </c>
      <c r="C72" s="9" t="s">
        <v>597</v>
      </c>
      <c r="D72" s="9">
        <v>13</v>
      </c>
      <c r="E72" s="9" t="s">
        <v>548</v>
      </c>
      <c r="F72" s="9" t="s">
        <v>322</v>
      </c>
      <c r="G72" s="10">
        <v>0.62291666666666667</v>
      </c>
      <c r="H72" s="9" t="s">
        <v>602</v>
      </c>
      <c r="I72" s="9">
        <v>3.8</v>
      </c>
      <c r="J72" s="9" t="s">
        <v>90</v>
      </c>
      <c r="K72" s="9">
        <v>371</v>
      </c>
      <c r="L72" s="9">
        <v>87</v>
      </c>
      <c r="M72" s="9" t="s">
        <v>22</v>
      </c>
      <c r="N72" s="9">
        <v>18</v>
      </c>
      <c r="O72" s="9" t="s">
        <v>55</v>
      </c>
      <c r="P72" s="9" t="s">
        <v>24</v>
      </c>
      <c r="Q72" s="9" t="str">
        <f t="shared" si="14"/>
        <v>None</v>
      </c>
      <c r="R72" s="9">
        <f t="shared" si="15"/>
        <v>46.000000000000156</v>
      </c>
      <c r="S72" s="9">
        <f t="shared" si="16"/>
        <v>2.9999999999999893</v>
      </c>
      <c r="T72" s="9">
        <f t="shared" si="17"/>
        <v>4.9999999999999822</v>
      </c>
      <c r="U72" s="9">
        <f t="shared" si="27"/>
        <v>25.000000000000071</v>
      </c>
      <c r="V72" s="9">
        <f t="shared" si="18"/>
        <v>14</v>
      </c>
      <c r="W72" s="9" t="str">
        <f t="shared" si="19"/>
        <v>Afternoon</v>
      </c>
      <c r="X72" s="9" t="str">
        <f t="shared" si="20"/>
        <v>Off-Peak</v>
      </c>
      <c r="Y72" s="23">
        <f t="shared" si="21"/>
        <v>0.15199999999999955</v>
      </c>
      <c r="Z72" s="23">
        <f t="shared" si="22"/>
        <v>22.894736842105264</v>
      </c>
      <c r="AA72" s="23">
        <f t="shared" si="23"/>
        <v>0.23450134770889489</v>
      </c>
      <c r="AB72" s="9" t="str">
        <f t="shared" si="24"/>
        <v>Late</v>
      </c>
      <c r="AC72" s="9" t="str">
        <f t="shared" si="25"/>
        <v>No Delay</v>
      </c>
      <c r="AD72" s="64" t="str">
        <f t="shared" si="26"/>
        <v>Medium (2-5km)</v>
      </c>
    </row>
    <row r="73" spans="1:30" x14ac:dyDescent="0.3">
      <c r="A73" s="8" t="s">
        <v>252</v>
      </c>
      <c r="B73" s="9" t="s">
        <v>340</v>
      </c>
      <c r="C73" s="9" t="s">
        <v>597</v>
      </c>
      <c r="D73" s="9">
        <v>14</v>
      </c>
      <c r="E73" s="9" t="s">
        <v>328</v>
      </c>
      <c r="F73" s="9" t="s">
        <v>328</v>
      </c>
      <c r="G73" s="10">
        <v>0.66388888888888886</v>
      </c>
      <c r="H73" s="9" t="s">
        <v>503</v>
      </c>
      <c r="I73" s="9">
        <v>2.71</v>
      </c>
      <c r="J73" s="9" t="s">
        <v>90</v>
      </c>
      <c r="K73" s="9">
        <v>372</v>
      </c>
      <c r="L73" s="9">
        <v>77</v>
      </c>
      <c r="M73" s="9" t="s">
        <v>22</v>
      </c>
      <c r="N73" s="9">
        <v>19</v>
      </c>
      <c r="O73" s="9" t="s">
        <v>55</v>
      </c>
      <c r="P73" s="9" t="s">
        <v>24</v>
      </c>
      <c r="Q73" s="9" t="str">
        <f t="shared" si="14"/>
        <v>None</v>
      </c>
      <c r="R73" s="9">
        <f t="shared" si="15"/>
        <v>38.999999999999858</v>
      </c>
      <c r="S73" s="9">
        <f t="shared" si="16"/>
        <v>0</v>
      </c>
      <c r="T73" s="9">
        <f t="shared" si="17"/>
        <v>4.9999999999999822</v>
      </c>
      <c r="U73" s="9">
        <f t="shared" si="27"/>
        <v>19.999999999999929</v>
      </c>
      <c r="V73" s="9">
        <f t="shared" si="18"/>
        <v>15</v>
      </c>
      <c r="W73" s="9" t="str">
        <f t="shared" si="19"/>
        <v>Evening</v>
      </c>
      <c r="X73" s="9" t="str">
        <f t="shared" si="20"/>
        <v>Off-Peak</v>
      </c>
      <c r="Y73" s="23">
        <f t="shared" si="21"/>
        <v>0.13550000000000048</v>
      </c>
      <c r="Z73" s="23">
        <f t="shared" si="22"/>
        <v>28.41328413284133</v>
      </c>
      <c r="AA73" s="23">
        <f t="shared" si="23"/>
        <v>0.20698924731182797</v>
      </c>
      <c r="AB73" s="9" t="str">
        <f t="shared" si="24"/>
        <v>On-Time</v>
      </c>
      <c r="AC73" s="9" t="str">
        <f t="shared" si="25"/>
        <v>No Delay</v>
      </c>
      <c r="AD73" s="64" t="str">
        <f t="shared" si="26"/>
        <v>Medium (2-5km)</v>
      </c>
    </row>
    <row r="74" spans="1:30" x14ac:dyDescent="0.3">
      <c r="A74" s="8" t="s">
        <v>255</v>
      </c>
      <c r="B74" s="9" t="s">
        <v>485</v>
      </c>
      <c r="C74" s="9" t="s">
        <v>597</v>
      </c>
      <c r="D74" s="9">
        <v>16</v>
      </c>
      <c r="E74" s="9" t="s">
        <v>506</v>
      </c>
      <c r="F74" s="9" t="s">
        <v>581</v>
      </c>
      <c r="G74" s="10">
        <v>0.71805555555555545</v>
      </c>
      <c r="H74" s="9" t="s">
        <v>38</v>
      </c>
      <c r="I74" s="9">
        <v>2.33</v>
      </c>
      <c r="J74" s="9" t="s">
        <v>76</v>
      </c>
      <c r="K74" s="9">
        <v>298</v>
      </c>
      <c r="L74" s="9">
        <v>70</v>
      </c>
      <c r="M74" s="9" t="s">
        <v>22</v>
      </c>
      <c r="N74" s="9">
        <v>16</v>
      </c>
      <c r="O74" s="9" t="s">
        <v>55</v>
      </c>
      <c r="P74" s="9" t="s">
        <v>24</v>
      </c>
      <c r="Q74" s="9" t="str">
        <f t="shared" si="14"/>
        <v>None</v>
      </c>
      <c r="R74" s="9">
        <f t="shared" si="15"/>
        <v>37.000000000000028</v>
      </c>
      <c r="S74" s="9">
        <f t="shared" si="16"/>
        <v>0.99999999999983658</v>
      </c>
      <c r="T74" s="9">
        <f t="shared" si="17"/>
        <v>4.9999999999999822</v>
      </c>
      <c r="U74" s="9">
        <f t="shared" si="27"/>
        <v>15.000000000000266</v>
      </c>
      <c r="V74" s="9">
        <f t="shared" si="18"/>
        <v>16</v>
      </c>
      <c r="W74" s="9" t="str">
        <f t="shared" si="19"/>
        <v>Evening</v>
      </c>
      <c r="X74" s="9" t="str">
        <f t="shared" si="20"/>
        <v>Off-Peak</v>
      </c>
      <c r="Y74" s="23">
        <f t="shared" si="21"/>
        <v>0.15533333333333058</v>
      </c>
      <c r="Z74" s="23">
        <f t="shared" si="22"/>
        <v>30.04291845493562</v>
      </c>
      <c r="AA74" s="23">
        <f t="shared" si="23"/>
        <v>0.2348993288590604</v>
      </c>
      <c r="AB74" s="9" t="str">
        <f t="shared" si="24"/>
        <v>On-Time</v>
      </c>
      <c r="AC74" s="9" t="str">
        <f t="shared" si="25"/>
        <v>No Delay</v>
      </c>
      <c r="AD74" s="64" t="str">
        <f t="shared" si="26"/>
        <v>Medium (2-5km)</v>
      </c>
    </row>
    <row r="75" spans="1:30" x14ac:dyDescent="0.3">
      <c r="A75" s="8" t="s">
        <v>256</v>
      </c>
      <c r="B75" s="9" t="s">
        <v>445</v>
      </c>
      <c r="C75" s="9" t="s">
        <v>597</v>
      </c>
      <c r="D75" s="9">
        <v>12</v>
      </c>
      <c r="E75" s="9" t="s">
        <v>556</v>
      </c>
      <c r="F75" s="9" t="s">
        <v>334</v>
      </c>
      <c r="G75" s="10">
        <v>0.84583333333333333</v>
      </c>
      <c r="H75" s="9" t="s">
        <v>728</v>
      </c>
      <c r="I75" s="9">
        <v>4.22</v>
      </c>
      <c r="J75" s="9" t="s">
        <v>76</v>
      </c>
      <c r="K75" s="9">
        <v>185</v>
      </c>
      <c r="L75" s="9">
        <v>101</v>
      </c>
      <c r="M75" s="9" t="s">
        <v>22</v>
      </c>
      <c r="N75" s="9">
        <v>12</v>
      </c>
      <c r="O75" s="9" t="s">
        <v>34</v>
      </c>
      <c r="P75" s="9" t="s">
        <v>24</v>
      </c>
      <c r="Q75" s="9" t="str">
        <f t="shared" si="14"/>
        <v>Traffic</v>
      </c>
      <c r="R75" s="9">
        <f t="shared" si="15"/>
        <v>54.999999999999801</v>
      </c>
      <c r="S75" s="9">
        <f t="shared" si="16"/>
        <v>0.99999999999999645</v>
      </c>
      <c r="T75" s="9">
        <f t="shared" si="17"/>
        <v>9.9999999999999645</v>
      </c>
      <c r="U75" s="9">
        <f t="shared" si="27"/>
        <v>31.999999999999886</v>
      </c>
      <c r="V75" s="9">
        <f t="shared" si="18"/>
        <v>19</v>
      </c>
      <c r="W75" s="9" t="str">
        <f t="shared" si="19"/>
        <v>Peak Night</v>
      </c>
      <c r="X75" s="9" t="str">
        <f t="shared" si="20"/>
        <v>Peak</v>
      </c>
      <c r="Y75" s="23">
        <f t="shared" si="21"/>
        <v>0.13187500000000046</v>
      </c>
      <c r="Z75" s="23">
        <f t="shared" si="22"/>
        <v>23.933649289099527</v>
      </c>
      <c r="AA75" s="23">
        <f t="shared" si="23"/>
        <v>0.54594594594594592</v>
      </c>
      <c r="AB75" s="9" t="str">
        <f t="shared" si="24"/>
        <v>Late</v>
      </c>
      <c r="AC75" s="9" t="str">
        <f t="shared" si="25"/>
        <v>No Delay</v>
      </c>
      <c r="AD75" s="64" t="str">
        <f t="shared" si="26"/>
        <v>Medium (2-5km)</v>
      </c>
    </row>
    <row r="76" spans="1:30" x14ac:dyDescent="0.3">
      <c r="A76" s="8" t="s">
        <v>260</v>
      </c>
      <c r="B76" s="9" t="s">
        <v>696</v>
      </c>
      <c r="C76" s="9" t="s">
        <v>597</v>
      </c>
      <c r="D76" s="9">
        <v>16</v>
      </c>
      <c r="E76" s="9" t="s">
        <v>668</v>
      </c>
      <c r="F76" s="9" t="s">
        <v>359</v>
      </c>
      <c r="G76" s="10">
        <v>0.68958333333333333</v>
      </c>
      <c r="H76" s="9" t="s">
        <v>677</v>
      </c>
      <c r="I76" s="9">
        <v>6.03</v>
      </c>
      <c r="J76" s="9" t="s">
        <v>129</v>
      </c>
      <c r="K76" s="9">
        <v>251</v>
      </c>
      <c r="L76" s="9">
        <v>105</v>
      </c>
      <c r="M76" s="9" t="s">
        <v>77</v>
      </c>
      <c r="N76" s="9">
        <v>16</v>
      </c>
      <c r="O76" s="9" t="s">
        <v>55</v>
      </c>
      <c r="P76" s="9" t="s">
        <v>78</v>
      </c>
      <c r="Q76" s="9" t="str">
        <f t="shared" si="14"/>
        <v>Restaurant Delay</v>
      </c>
      <c r="R76" s="9">
        <f t="shared" si="15"/>
        <v>55.000000000000128</v>
      </c>
      <c r="S76" s="9">
        <f t="shared" si="16"/>
        <v>1.9999999999999929</v>
      </c>
      <c r="T76" s="9">
        <f t="shared" si="17"/>
        <v>5.9999999999999787</v>
      </c>
      <c r="U76" s="9">
        <f t="shared" si="27"/>
        <v>31.00000000000005</v>
      </c>
      <c r="V76" s="9">
        <f t="shared" si="18"/>
        <v>16</v>
      </c>
      <c r="W76" s="9" t="str">
        <f t="shared" si="19"/>
        <v>Evening</v>
      </c>
      <c r="X76" s="9" t="str">
        <f t="shared" si="20"/>
        <v>Off-Peak</v>
      </c>
      <c r="Y76" s="23">
        <f t="shared" si="21"/>
        <v>0.19451612903225776</v>
      </c>
      <c r="Z76" s="23">
        <f t="shared" si="22"/>
        <v>17.412935323383085</v>
      </c>
      <c r="AA76" s="23">
        <f t="shared" si="23"/>
        <v>0.41832669322709165</v>
      </c>
      <c r="AB76" s="9" t="str">
        <f t="shared" si="24"/>
        <v>Late</v>
      </c>
      <c r="AC76" s="9" t="str">
        <f t="shared" si="25"/>
        <v>Restaurant Delay</v>
      </c>
      <c r="AD76" s="64" t="str">
        <f t="shared" si="26"/>
        <v>Long (5+km)</v>
      </c>
    </row>
    <row r="77" spans="1:30" x14ac:dyDescent="0.3">
      <c r="A77" s="8" t="s">
        <v>263</v>
      </c>
      <c r="B77" s="9" t="s">
        <v>633</v>
      </c>
      <c r="C77" s="9" t="s">
        <v>597</v>
      </c>
      <c r="D77" s="9">
        <v>12</v>
      </c>
      <c r="E77" s="9" t="s">
        <v>729</v>
      </c>
      <c r="F77" s="9" t="s">
        <v>729</v>
      </c>
      <c r="G77" s="10">
        <v>0.77708333333333335</v>
      </c>
      <c r="H77" s="9" t="s">
        <v>396</v>
      </c>
      <c r="I77" s="9">
        <v>6.67</v>
      </c>
      <c r="J77" s="9" t="s">
        <v>99</v>
      </c>
      <c r="K77" s="9">
        <v>205</v>
      </c>
      <c r="L77" s="9">
        <v>116</v>
      </c>
      <c r="M77" s="9" t="s">
        <v>22</v>
      </c>
      <c r="N77" s="9">
        <v>12</v>
      </c>
      <c r="O77" s="9" t="s">
        <v>23</v>
      </c>
      <c r="P77" s="9" t="s">
        <v>24</v>
      </c>
      <c r="Q77" s="9" t="str">
        <f t="shared" si="14"/>
        <v>Distance</v>
      </c>
      <c r="R77" s="9">
        <f t="shared" si="15"/>
        <v>57.000000000000114</v>
      </c>
      <c r="S77" s="9">
        <f t="shared" si="16"/>
        <v>0</v>
      </c>
      <c r="T77" s="9">
        <f t="shared" si="17"/>
        <v>2.9999999999999893</v>
      </c>
      <c r="U77" s="9">
        <f t="shared" si="27"/>
        <v>42.000000000000014</v>
      </c>
      <c r="V77" s="9">
        <f t="shared" si="18"/>
        <v>18</v>
      </c>
      <c r="W77" s="9" t="str">
        <f t="shared" si="19"/>
        <v>Peak Night</v>
      </c>
      <c r="X77" s="9" t="str">
        <f t="shared" si="20"/>
        <v>Peak</v>
      </c>
      <c r="Y77" s="23">
        <f t="shared" si="21"/>
        <v>0.15880952380952376</v>
      </c>
      <c r="Z77" s="23">
        <f t="shared" si="22"/>
        <v>17.391304347826086</v>
      </c>
      <c r="AA77" s="23">
        <f t="shared" si="23"/>
        <v>0.56585365853658531</v>
      </c>
      <c r="AB77" s="9" t="str">
        <f t="shared" si="24"/>
        <v>Late</v>
      </c>
      <c r="AC77" s="9" t="str">
        <f t="shared" si="25"/>
        <v>No Delay</v>
      </c>
      <c r="AD77" s="64" t="str">
        <f t="shared" si="26"/>
        <v>Long (5+km)</v>
      </c>
    </row>
    <row r="78" spans="1:30" x14ac:dyDescent="0.3">
      <c r="A78" s="8" t="s">
        <v>265</v>
      </c>
      <c r="B78" s="9" t="s">
        <v>634</v>
      </c>
      <c r="C78" s="9" t="s">
        <v>597</v>
      </c>
      <c r="D78" s="9">
        <v>19</v>
      </c>
      <c r="E78" s="9" t="s">
        <v>535</v>
      </c>
      <c r="F78" s="9" t="s">
        <v>536</v>
      </c>
      <c r="G78" s="10">
        <v>0.78333333333333344</v>
      </c>
      <c r="H78" s="9" t="s">
        <v>139</v>
      </c>
      <c r="I78" s="9">
        <v>5.64</v>
      </c>
      <c r="J78" s="9" t="s">
        <v>33</v>
      </c>
      <c r="K78" s="9">
        <v>327</v>
      </c>
      <c r="L78" s="9">
        <v>108</v>
      </c>
      <c r="M78" s="9" t="s">
        <v>22</v>
      </c>
      <c r="N78" s="9">
        <v>15</v>
      </c>
      <c r="O78" s="9" t="s">
        <v>23</v>
      </c>
      <c r="P78" s="9" t="s">
        <v>24</v>
      </c>
      <c r="Q78" s="9" t="str">
        <f t="shared" si="14"/>
        <v>None</v>
      </c>
      <c r="R78" s="9">
        <f t="shared" si="15"/>
        <v>62.999999999999936</v>
      </c>
      <c r="S78" s="9">
        <f t="shared" si="16"/>
        <v>2.0000000000001528</v>
      </c>
      <c r="T78" s="9">
        <f t="shared" si="17"/>
        <v>0.99999999999999645</v>
      </c>
      <c r="U78" s="9">
        <f t="shared" si="27"/>
        <v>40.999999999999858</v>
      </c>
      <c r="V78" s="9">
        <f t="shared" si="18"/>
        <v>18</v>
      </c>
      <c r="W78" s="9" t="str">
        <f t="shared" si="19"/>
        <v>Peak Night</v>
      </c>
      <c r="X78" s="9" t="str">
        <f t="shared" si="20"/>
        <v>Peak</v>
      </c>
      <c r="Y78" s="23">
        <f t="shared" si="21"/>
        <v>0.13756097560975655</v>
      </c>
      <c r="Z78" s="23">
        <f t="shared" si="22"/>
        <v>19.148936170212767</v>
      </c>
      <c r="AA78" s="23">
        <f t="shared" si="23"/>
        <v>0.33027522935779818</v>
      </c>
      <c r="AB78" s="9" t="str">
        <f t="shared" si="24"/>
        <v>Late</v>
      </c>
      <c r="AC78" s="9" t="str">
        <f t="shared" si="25"/>
        <v>No Delay</v>
      </c>
      <c r="AD78" s="64" t="str">
        <f t="shared" si="26"/>
        <v>Long (5+km)</v>
      </c>
    </row>
    <row r="79" spans="1:30" x14ac:dyDescent="0.3">
      <c r="A79" s="8" t="s">
        <v>269</v>
      </c>
      <c r="B79" s="9" t="s">
        <v>726</v>
      </c>
      <c r="C79" s="9" t="s">
        <v>597</v>
      </c>
      <c r="D79" s="9">
        <v>13</v>
      </c>
      <c r="E79" s="9" t="s">
        <v>27</v>
      </c>
      <c r="F79" s="9" t="s">
        <v>131</v>
      </c>
      <c r="G79" s="10">
        <v>0.49652777777777773</v>
      </c>
      <c r="H79" s="9" t="s">
        <v>279</v>
      </c>
      <c r="I79" s="9">
        <v>3.65</v>
      </c>
      <c r="J79" s="9" t="s">
        <v>211</v>
      </c>
      <c r="K79" s="9">
        <v>210</v>
      </c>
      <c r="L79" s="9">
        <v>89</v>
      </c>
      <c r="M79" s="9" t="s">
        <v>22</v>
      </c>
      <c r="N79" s="9">
        <v>15</v>
      </c>
      <c r="O79" s="9" t="s">
        <v>23</v>
      </c>
      <c r="P79" s="9" t="s">
        <v>24</v>
      </c>
      <c r="Q79" s="9" t="str">
        <f t="shared" si="14"/>
        <v>None</v>
      </c>
      <c r="R79" s="9">
        <f t="shared" si="15"/>
        <v>47.000000000000071</v>
      </c>
      <c r="S79" s="9">
        <f t="shared" si="16"/>
        <v>0.99999999999991651</v>
      </c>
      <c r="T79" s="9">
        <f t="shared" si="17"/>
        <v>3.9999999999999858</v>
      </c>
      <c r="U79" s="9">
        <f t="shared" si="27"/>
        <v>29.000000000000135</v>
      </c>
      <c r="V79" s="9">
        <f t="shared" si="18"/>
        <v>11</v>
      </c>
      <c r="W79" s="9" t="str">
        <f t="shared" si="19"/>
        <v>Late Morning</v>
      </c>
      <c r="X79" s="9" t="str">
        <f t="shared" si="20"/>
        <v>Off-Peak</v>
      </c>
      <c r="Y79" s="23">
        <f t="shared" si="21"/>
        <v>0.12586206896551666</v>
      </c>
      <c r="Z79" s="23">
        <f t="shared" si="22"/>
        <v>24.383561643835616</v>
      </c>
      <c r="AA79" s="23">
        <f t="shared" si="23"/>
        <v>0.4238095238095238</v>
      </c>
      <c r="AB79" s="9" t="str">
        <f t="shared" si="24"/>
        <v>Late</v>
      </c>
      <c r="AC79" s="9" t="str">
        <f t="shared" si="25"/>
        <v>No Delay</v>
      </c>
      <c r="AD79" s="64" t="str">
        <f t="shared" si="26"/>
        <v>Medium (2-5km)</v>
      </c>
    </row>
    <row r="80" spans="1:30" x14ac:dyDescent="0.3">
      <c r="A80" s="8" t="s">
        <v>272</v>
      </c>
      <c r="B80" s="9" t="s">
        <v>423</v>
      </c>
      <c r="C80" s="9" t="s">
        <v>597</v>
      </c>
      <c r="D80" s="9">
        <v>16</v>
      </c>
      <c r="E80" s="9" t="s">
        <v>427</v>
      </c>
      <c r="F80" s="9" t="s">
        <v>264</v>
      </c>
      <c r="G80" s="10">
        <v>0.76111111111111107</v>
      </c>
      <c r="H80" s="9" t="s">
        <v>730</v>
      </c>
      <c r="I80" s="9">
        <v>6</v>
      </c>
      <c r="J80" s="9" t="s">
        <v>45</v>
      </c>
      <c r="K80" s="9">
        <v>178</v>
      </c>
      <c r="L80" s="9">
        <v>113</v>
      </c>
      <c r="M80" s="9" t="s">
        <v>22</v>
      </c>
      <c r="N80" s="9">
        <v>13</v>
      </c>
      <c r="O80" s="9" t="s">
        <v>23</v>
      </c>
      <c r="P80" s="9" t="s">
        <v>24</v>
      </c>
      <c r="Q80" s="9" t="str">
        <f t="shared" si="14"/>
        <v>Distance</v>
      </c>
      <c r="R80" s="9">
        <f t="shared" si="15"/>
        <v>62.999999999999936</v>
      </c>
      <c r="S80" s="9">
        <f t="shared" si="16"/>
        <v>1.9999999999999929</v>
      </c>
      <c r="T80" s="9">
        <f t="shared" si="17"/>
        <v>4.9999999999999822</v>
      </c>
      <c r="U80" s="9">
        <f t="shared" si="27"/>
        <v>40.000000000000014</v>
      </c>
      <c r="V80" s="9">
        <f t="shared" si="18"/>
        <v>17</v>
      </c>
      <c r="W80" s="9" t="str">
        <f t="shared" si="19"/>
        <v>Evening</v>
      </c>
      <c r="X80" s="9" t="str">
        <f t="shared" si="20"/>
        <v>Peak</v>
      </c>
      <c r="Y80" s="23">
        <f t="shared" si="21"/>
        <v>0.14999999999999994</v>
      </c>
      <c r="Z80" s="23">
        <f t="shared" si="22"/>
        <v>18.833333333333332</v>
      </c>
      <c r="AA80" s="23">
        <f t="shared" si="23"/>
        <v>0.6348314606741573</v>
      </c>
      <c r="AB80" s="9" t="str">
        <f t="shared" si="24"/>
        <v>Late</v>
      </c>
      <c r="AC80" s="9" t="str">
        <f t="shared" si="25"/>
        <v>No Delay</v>
      </c>
      <c r="AD80" s="64" t="str">
        <f t="shared" si="26"/>
        <v>Long (5+km)</v>
      </c>
    </row>
    <row r="81" spans="1:30" x14ac:dyDescent="0.3">
      <c r="A81" s="8" t="s">
        <v>274</v>
      </c>
      <c r="B81" s="9" t="s">
        <v>315</v>
      </c>
      <c r="C81" s="9" t="s">
        <v>594</v>
      </c>
      <c r="D81" s="9">
        <v>25</v>
      </c>
      <c r="E81" s="9" t="s">
        <v>258</v>
      </c>
      <c r="F81" s="9" t="s">
        <v>518</v>
      </c>
      <c r="G81" s="10">
        <v>0.49722222222222218</v>
      </c>
      <c r="H81" s="9" t="s">
        <v>279</v>
      </c>
      <c r="I81" s="9">
        <v>3.24</v>
      </c>
      <c r="J81" s="9" t="s">
        <v>45</v>
      </c>
      <c r="K81" s="9">
        <v>223</v>
      </c>
      <c r="L81" s="9">
        <v>85</v>
      </c>
      <c r="M81" s="9" t="s">
        <v>22</v>
      </c>
      <c r="N81" s="9">
        <v>18</v>
      </c>
      <c r="O81" s="9" t="s">
        <v>23</v>
      </c>
      <c r="P81" s="9" t="s">
        <v>24</v>
      </c>
      <c r="Q81" s="9" t="str">
        <f t="shared" si="14"/>
        <v>Restaurant Delay</v>
      </c>
      <c r="R81" s="9">
        <f t="shared" si="15"/>
        <v>64.000000000000014</v>
      </c>
      <c r="S81" s="9">
        <f t="shared" si="16"/>
        <v>7.9999999999999716</v>
      </c>
      <c r="T81" s="9">
        <f t="shared" si="17"/>
        <v>2.9999999999999893</v>
      </c>
      <c r="U81" s="9">
        <f t="shared" si="27"/>
        <v>28.000000000000142</v>
      </c>
      <c r="V81" s="9">
        <f t="shared" si="18"/>
        <v>11</v>
      </c>
      <c r="W81" s="9" t="str">
        <f t="shared" si="19"/>
        <v>Late Morning</v>
      </c>
      <c r="X81" s="9" t="str">
        <f t="shared" si="20"/>
        <v>Off-Peak</v>
      </c>
      <c r="Y81" s="23">
        <f t="shared" si="21"/>
        <v>0.11571428571428513</v>
      </c>
      <c r="Z81" s="23">
        <f t="shared" si="22"/>
        <v>26.234567901234566</v>
      </c>
      <c r="AA81" s="23">
        <f t="shared" si="23"/>
        <v>0.3811659192825112</v>
      </c>
      <c r="AB81" s="9" t="str">
        <f t="shared" si="24"/>
        <v>Late</v>
      </c>
      <c r="AC81" s="9" t="str">
        <f t="shared" si="25"/>
        <v>No Delay</v>
      </c>
      <c r="AD81" s="64" t="str">
        <f t="shared" si="26"/>
        <v>Medium (2-5km)</v>
      </c>
    </row>
    <row r="82" spans="1:30" x14ac:dyDescent="0.3">
      <c r="A82" s="8" t="s">
        <v>276</v>
      </c>
      <c r="B82" s="9" t="s">
        <v>600</v>
      </c>
      <c r="C82" s="9" t="s">
        <v>597</v>
      </c>
      <c r="D82" s="9">
        <v>20</v>
      </c>
      <c r="E82" s="9" t="s">
        <v>581</v>
      </c>
      <c r="F82" s="9" t="s">
        <v>247</v>
      </c>
      <c r="G82" s="10">
        <v>0.71805555555555556</v>
      </c>
      <c r="H82" s="9" t="s">
        <v>716</v>
      </c>
      <c r="I82" s="9">
        <v>1.1100000000000001</v>
      </c>
      <c r="J82" s="9" t="s">
        <v>99</v>
      </c>
      <c r="K82" s="9">
        <v>288</v>
      </c>
      <c r="L82" s="9">
        <v>56</v>
      </c>
      <c r="M82" s="9" t="s">
        <v>22</v>
      </c>
      <c r="N82" s="9">
        <v>16</v>
      </c>
      <c r="O82" s="9" t="s">
        <v>55</v>
      </c>
      <c r="P82" s="9" t="s">
        <v>24</v>
      </c>
      <c r="Q82" s="9" t="str">
        <f t="shared" si="14"/>
        <v>None</v>
      </c>
      <c r="R82" s="9">
        <f t="shared" si="15"/>
        <v>33.000000000000043</v>
      </c>
      <c r="S82" s="9">
        <f t="shared" si="16"/>
        <v>1.0000000000001563</v>
      </c>
      <c r="T82" s="9">
        <f t="shared" si="17"/>
        <v>3.9999999999999858</v>
      </c>
      <c r="U82" s="9">
        <f t="shared" si="27"/>
        <v>7.9999999999999716</v>
      </c>
      <c r="V82" s="9">
        <f t="shared" si="18"/>
        <v>16</v>
      </c>
      <c r="W82" s="9" t="str">
        <f t="shared" si="19"/>
        <v>Evening</v>
      </c>
      <c r="X82" s="9" t="str">
        <f t="shared" si="20"/>
        <v>Off-Peak</v>
      </c>
      <c r="Y82" s="23">
        <f t="shared" si="21"/>
        <v>0.13875000000000051</v>
      </c>
      <c r="Z82" s="23">
        <f t="shared" si="22"/>
        <v>50.450450450450447</v>
      </c>
      <c r="AA82" s="23">
        <f t="shared" si="23"/>
        <v>0.19444444444444445</v>
      </c>
      <c r="AB82" s="9" t="str">
        <f t="shared" si="24"/>
        <v>On-Time</v>
      </c>
      <c r="AC82" s="9" t="str">
        <f t="shared" si="25"/>
        <v>No Delay</v>
      </c>
      <c r="AD82" s="64" t="str">
        <f t="shared" si="26"/>
        <v>Short (0-2km)</v>
      </c>
    </row>
    <row r="83" spans="1:30" x14ac:dyDescent="0.3">
      <c r="A83" s="8" t="s">
        <v>280</v>
      </c>
      <c r="B83" s="9" t="s">
        <v>637</v>
      </c>
      <c r="C83" s="9" t="s">
        <v>597</v>
      </c>
      <c r="D83" s="9">
        <v>12</v>
      </c>
      <c r="E83" s="9" t="s">
        <v>61</v>
      </c>
      <c r="F83" s="9" t="s">
        <v>673</v>
      </c>
      <c r="G83" s="10">
        <v>0.83680555555555547</v>
      </c>
      <c r="H83" s="9" t="s">
        <v>731</v>
      </c>
      <c r="I83" s="9">
        <v>5.57</v>
      </c>
      <c r="J83" s="9" t="s">
        <v>21</v>
      </c>
      <c r="K83" s="9">
        <v>159</v>
      </c>
      <c r="L83" s="9">
        <v>117</v>
      </c>
      <c r="M83" s="9" t="s">
        <v>22</v>
      </c>
      <c r="N83" s="9">
        <v>8</v>
      </c>
      <c r="O83" s="9" t="s">
        <v>34</v>
      </c>
      <c r="P83" s="9" t="s">
        <v>24</v>
      </c>
      <c r="Q83" s="9" t="str">
        <f t="shared" si="14"/>
        <v>Traffic</v>
      </c>
      <c r="R83" s="9">
        <f t="shared" si="15"/>
        <v>70.000000000000071</v>
      </c>
      <c r="S83" s="9">
        <f t="shared" si="16"/>
        <v>6.9999999999999751</v>
      </c>
      <c r="T83" s="9">
        <f t="shared" si="17"/>
        <v>7.9999999999999716</v>
      </c>
      <c r="U83" s="9">
        <f t="shared" si="27"/>
        <v>43.000000000000171</v>
      </c>
      <c r="V83" s="9">
        <f t="shared" si="18"/>
        <v>19</v>
      </c>
      <c r="W83" s="9" t="str">
        <f t="shared" si="19"/>
        <v>Peak Night</v>
      </c>
      <c r="X83" s="9" t="str">
        <f t="shared" si="20"/>
        <v>Peak</v>
      </c>
      <c r="Y83" s="23">
        <f t="shared" si="21"/>
        <v>0.12953488372092972</v>
      </c>
      <c r="Z83" s="23">
        <f t="shared" si="22"/>
        <v>21.005385996409334</v>
      </c>
      <c r="AA83" s="23">
        <f t="shared" si="23"/>
        <v>0.73584905660377353</v>
      </c>
      <c r="AB83" s="9" t="str">
        <f t="shared" si="24"/>
        <v>Late</v>
      </c>
      <c r="AC83" s="9" t="str">
        <f t="shared" si="25"/>
        <v>No Delay</v>
      </c>
      <c r="AD83" s="64" t="str">
        <f t="shared" si="26"/>
        <v>Long (5+km)</v>
      </c>
    </row>
    <row r="84" spans="1:30" x14ac:dyDescent="0.3">
      <c r="A84" s="8" t="s">
        <v>282</v>
      </c>
      <c r="B84" s="9" t="s">
        <v>143</v>
      </c>
      <c r="C84" s="9" t="s">
        <v>597</v>
      </c>
      <c r="D84" s="9">
        <v>12</v>
      </c>
      <c r="E84" s="9" t="s">
        <v>477</v>
      </c>
      <c r="F84" s="9" t="s">
        <v>144</v>
      </c>
      <c r="G84" s="10">
        <v>0.47222222222222221</v>
      </c>
      <c r="H84" s="9" t="s">
        <v>277</v>
      </c>
      <c r="I84" s="9">
        <v>6.47</v>
      </c>
      <c r="J84" s="9" t="s">
        <v>122</v>
      </c>
      <c r="K84" s="9">
        <v>157</v>
      </c>
      <c r="L84" s="9">
        <v>116</v>
      </c>
      <c r="M84" s="9" t="s">
        <v>22</v>
      </c>
      <c r="N84" s="9">
        <v>12</v>
      </c>
      <c r="O84" s="9" t="s">
        <v>23</v>
      </c>
      <c r="P84" s="9" t="s">
        <v>24</v>
      </c>
      <c r="Q84" s="9" t="str">
        <f t="shared" si="14"/>
        <v>Distance</v>
      </c>
      <c r="R84" s="9">
        <f t="shared" si="15"/>
        <v>61.000000000000021</v>
      </c>
      <c r="S84" s="9">
        <f t="shared" si="16"/>
        <v>3.0000000000000693</v>
      </c>
      <c r="T84" s="9">
        <f t="shared" si="17"/>
        <v>2.9999999999999893</v>
      </c>
      <c r="U84" s="9">
        <f t="shared" si="27"/>
        <v>43.000000000000007</v>
      </c>
      <c r="V84" s="9">
        <f t="shared" si="18"/>
        <v>11</v>
      </c>
      <c r="W84" s="9" t="str">
        <f t="shared" si="19"/>
        <v>Late Morning</v>
      </c>
      <c r="X84" s="9" t="str">
        <f t="shared" si="20"/>
        <v>Off-Peak</v>
      </c>
      <c r="Y84" s="23">
        <f t="shared" si="21"/>
        <v>0.15046511627906975</v>
      </c>
      <c r="Z84" s="23">
        <f t="shared" si="22"/>
        <v>17.928902627511594</v>
      </c>
      <c r="AA84" s="23">
        <f t="shared" si="23"/>
        <v>0.73885350318471332</v>
      </c>
      <c r="AB84" s="9" t="str">
        <f t="shared" si="24"/>
        <v>Late</v>
      </c>
      <c r="AC84" s="9" t="str">
        <f t="shared" si="25"/>
        <v>No Delay</v>
      </c>
      <c r="AD84" s="64" t="str">
        <f t="shared" si="26"/>
        <v>Long (5+km)</v>
      </c>
    </row>
    <row r="85" spans="1:30" x14ac:dyDescent="0.3">
      <c r="A85" s="8" t="s">
        <v>284</v>
      </c>
      <c r="B85" s="9" t="s">
        <v>405</v>
      </c>
      <c r="C85" s="9" t="s">
        <v>597</v>
      </c>
      <c r="D85" s="9">
        <v>20</v>
      </c>
      <c r="E85" s="9" t="s">
        <v>106</v>
      </c>
      <c r="F85" s="9" t="s">
        <v>73</v>
      </c>
      <c r="G85" s="10">
        <v>0.52638888888888891</v>
      </c>
      <c r="H85" s="9" t="s">
        <v>646</v>
      </c>
      <c r="I85" s="9">
        <v>5.64</v>
      </c>
      <c r="J85" s="9" t="s">
        <v>54</v>
      </c>
      <c r="K85" s="9">
        <v>218</v>
      </c>
      <c r="L85" s="9">
        <v>107</v>
      </c>
      <c r="M85" s="9" t="s">
        <v>22</v>
      </c>
      <c r="N85" s="9">
        <v>18</v>
      </c>
      <c r="O85" s="9" t="s">
        <v>23</v>
      </c>
      <c r="P85" s="9" t="s">
        <v>24</v>
      </c>
      <c r="Q85" s="9" t="str">
        <f t="shared" si="14"/>
        <v>None</v>
      </c>
      <c r="R85" s="9">
        <f t="shared" si="15"/>
        <v>64.000000000000085</v>
      </c>
      <c r="S85" s="9">
        <f t="shared" si="16"/>
        <v>2.9999999999999893</v>
      </c>
      <c r="T85" s="9">
        <f t="shared" si="17"/>
        <v>1.9999999999999929</v>
      </c>
      <c r="U85" s="9">
        <f t="shared" si="27"/>
        <v>39.000000000000021</v>
      </c>
      <c r="V85" s="9">
        <f t="shared" si="18"/>
        <v>12</v>
      </c>
      <c r="W85" s="9" t="str">
        <f t="shared" si="19"/>
        <v>Afternoon</v>
      </c>
      <c r="X85" s="9" t="str">
        <f t="shared" si="20"/>
        <v>Peak</v>
      </c>
      <c r="Y85" s="23">
        <f t="shared" si="21"/>
        <v>0.14461538461538453</v>
      </c>
      <c r="Z85" s="23">
        <f t="shared" si="22"/>
        <v>18.971631205673759</v>
      </c>
      <c r="AA85" s="23">
        <f t="shared" si="23"/>
        <v>0.49082568807339449</v>
      </c>
      <c r="AB85" s="9" t="str">
        <f t="shared" si="24"/>
        <v>Late</v>
      </c>
      <c r="AC85" s="9" t="str">
        <f t="shared" si="25"/>
        <v>No Delay</v>
      </c>
      <c r="AD85" s="64" t="str">
        <f t="shared" si="26"/>
        <v>Long (5+km)</v>
      </c>
    </row>
    <row r="86" spans="1:30" x14ac:dyDescent="0.3">
      <c r="A86" s="8" t="s">
        <v>286</v>
      </c>
      <c r="B86" s="9" t="s">
        <v>124</v>
      </c>
      <c r="C86" s="9" t="s">
        <v>597</v>
      </c>
      <c r="D86" s="9">
        <v>19</v>
      </c>
      <c r="E86" s="9" t="s">
        <v>102</v>
      </c>
      <c r="F86" s="9" t="s">
        <v>102</v>
      </c>
      <c r="G86" s="10">
        <v>0.60347222222222219</v>
      </c>
      <c r="H86" s="9" t="s">
        <v>322</v>
      </c>
      <c r="I86" s="9">
        <v>3.45</v>
      </c>
      <c r="J86" s="9" t="s">
        <v>126</v>
      </c>
      <c r="K86" s="9">
        <v>290</v>
      </c>
      <c r="L86" s="9">
        <v>80</v>
      </c>
      <c r="M86" s="9" t="s">
        <v>22</v>
      </c>
      <c r="N86" s="9">
        <v>19</v>
      </c>
      <c r="O86" s="9" t="s">
        <v>55</v>
      </c>
      <c r="P86" s="9" t="s">
        <v>24</v>
      </c>
      <c r="Q86" s="9" t="str">
        <f t="shared" si="14"/>
        <v>None</v>
      </c>
      <c r="R86" s="9">
        <f t="shared" si="15"/>
        <v>44</v>
      </c>
      <c r="S86" s="9">
        <f t="shared" si="16"/>
        <v>0</v>
      </c>
      <c r="T86" s="9">
        <f t="shared" si="17"/>
        <v>1.9999999999999929</v>
      </c>
      <c r="U86" s="9">
        <f t="shared" si="27"/>
        <v>23.000000000000078</v>
      </c>
      <c r="V86" s="9">
        <f t="shared" si="18"/>
        <v>14</v>
      </c>
      <c r="W86" s="9" t="str">
        <f t="shared" si="19"/>
        <v>Afternoon</v>
      </c>
      <c r="X86" s="9" t="str">
        <f t="shared" si="20"/>
        <v>Off-Peak</v>
      </c>
      <c r="Y86" s="23">
        <f t="shared" si="21"/>
        <v>0.14999999999999949</v>
      </c>
      <c r="Z86" s="23">
        <f t="shared" si="22"/>
        <v>23.188405797101449</v>
      </c>
      <c r="AA86" s="23">
        <f t="shared" si="23"/>
        <v>0.27586206896551724</v>
      </c>
      <c r="AB86" s="9" t="str">
        <f t="shared" si="24"/>
        <v>On-Time</v>
      </c>
      <c r="AC86" s="9" t="str">
        <f t="shared" si="25"/>
        <v>No Delay</v>
      </c>
      <c r="AD86" s="64" t="str">
        <f t="shared" si="26"/>
        <v>Medium (2-5km)</v>
      </c>
    </row>
    <row r="87" spans="1:30" x14ac:dyDescent="0.3">
      <c r="A87" s="8" t="s">
        <v>288</v>
      </c>
      <c r="B87" s="9" t="s">
        <v>147</v>
      </c>
      <c r="C87" s="9" t="s">
        <v>597</v>
      </c>
      <c r="D87" s="9">
        <v>18</v>
      </c>
      <c r="E87" s="9" t="s">
        <v>139</v>
      </c>
      <c r="F87" s="9" t="s">
        <v>89</v>
      </c>
      <c r="G87" s="10">
        <v>0.81736111111111109</v>
      </c>
      <c r="H87" s="9" t="s">
        <v>622</v>
      </c>
      <c r="I87" s="9">
        <v>1.49</v>
      </c>
      <c r="J87" s="9" t="s">
        <v>62</v>
      </c>
      <c r="K87" s="9">
        <v>334</v>
      </c>
      <c r="L87" s="9">
        <v>79</v>
      </c>
      <c r="M87" s="9" t="s">
        <v>22</v>
      </c>
      <c r="N87" s="9">
        <v>11</v>
      </c>
      <c r="O87" s="9" t="s">
        <v>34</v>
      </c>
      <c r="P87" s="9" t="s">
        <v>24</v>
      </c>
      <c r="Q87" s="9" t="str">
        <f t="shared" si="14"/>
        <v>Traffic</v>
      </c>
      <c r="R87" s="9">
        <f t="shared" si="15"/>
        <v>53.999999999999808</v>
      </c>
      <c r="S87" s="9">
        <f t="shared" si="16"/>
        <v>1.9999999999999929</v>
      </c>
      <c r="T87" s="9">
        <f t="shared" si="17"/>
        <v>5.9999999999999787</v>
      </c>
      <c r="U87" s="9">
        <f t="shared" si="27"/>
        <v>27.999999999999901</v>
      </c>
      <c r="V87" s="9">
        <f t="shared" si="18"/>
        <v>19</v>
      </c>
      <c r="W87" s="9" t="str">
        <f t="shared" si="19"/>
        <v>Peak Night</v>
      </c>
      <c r="X87" s="9" t="str">
        <f t="shared" si="20"/>
        <v>Peak</v>
      </c>
      <c r="Y87" s="23">
        <f t="shared" si="21"/>
        <v>5.3214285714285901E-2</v>
      </c>
      <c r="Z87" s="23">
        <f t="shared" si="22"/>
        <v>53.020134228187921</v>
      </c>
      <c r="AA87" s="23">
        <f t="shared" si="23"/>
        <v>0.23652694610778444</v>
      </c>
      <c r="AB87" s="9" t="str">
        <f t="shared" si="24"/>
        <v>Late</v>
      </c>
      <c r="AC87" s="9" t="str">
        <f t="shared" si="25"/>
        <v>No Delay</v>
      </c>
      <c r="AD87" s="64" t="str">
        <f t="shared" si="26"/>
        <v>Short (0-2km)</v>
      </c>
    </row>
    <row r="88" spans="1:30" x14ac:dyDescent="0.3">
      <c r="A88" s="8" t="s">
        <v>290</v>
      </c>
      <c r="B88" s="9" t="s">
        <v>120</v>
      </c>
      <c r="C88" s="9" t="s">
        <v>597</v>
      </c>
      <c r="D88" s="9">
        <v>11</v>
      </c>
      <c r="E88" s="9" t="s">
        <v>113</v>
      </c>
      <c r="F88" s="9" t="s">
        <v>734</v>
      </c>
      <c r="G88" s="10">
        <v>0.60763888888888895</v>
      </c>
      <c r="H88" s="9" t="s">
        <v>679</v>
      </c>
      <c r="I88" s="9">
        <v>7.43</v>
      </c>
      <c r="J88" s="9" t="s">
        <v>62</v>
      </c>
      <c r="K88" s="9">
        <v>163</v>
      </c>
      <c r="L88" s="9">
        <v>119</v>
      </c>
      <c r="M88" s="9" t="s">
        <v>22</v>
      </c>
      <c r="N88" s="9">
        <v>16</v>
      </c>
      <c r="O88" s="9" t="s">
        <v>55</v>
      </c>
      <c r="P88" s="9" t="s">
        <v>24</v>
      </c>
      <c r="Q88" s="9" t="str">
        <f t="shared" si="14"/>
        <v>Distance</v>
      </c>
      <c r="R88" s="9">
        <f t="shared" si="15"/>
        <v>57.999999999999957</v>
      </c>
      <c r="S88" s="9">
        <f t="shared" si="16"/>
        <v>3.0000000000001492</v>
      </c>
      <c r="T88" s="9">
        <f t="shared" si="17"/>
        <v>3.9999999999999858</v>
      </c>
      <c r="U88" s="9">
        <f t="shared" si="27"/>
        <v>39.999999999999858</v>
      </c>
      <c r="V88" s="9">
        <f t="shared" si="18"/>
        <v>14</v>
      </c>
      <c r="W88" s="9" t="str">
        <f t="shared" si="19"/>
        <v>Afternoon</v>
      </c>
      <c r="X88" s="9" t="str">
        <f t="shared" si="20"/>
        <v>Off-Peak</v>
      </c>
      <c r="Y88" s="23">
        <f t="shared" si="21"/>
        <v>0.18575000000000066</v>
      </c>
      <c r="Z88" s="23">
        <f t="shared" si="22"/>
        <v>16.01615074024226</v>
      </c>
      <c r="AA88" s="23">
        <f t="shared" si="23"/>
        <v>0.73006134969325154</v>
      </c>
      <c r="AB88" s="9" t="str">
        <f t="shared" si="24"/>
        <v>Late</v>
      </c>
      <c r="AC88" s="9" t="str">
        <f t="shared" si="25"/>
        <v>No Delay</v>
      </c>
      <c r="AD88" s="64" t="str">
        <f t="shared" si="26"/>
        <v>Long (5+km)</v>
      </c>
    </row>
    <row r="89" spans="1:30" x14ac:dyDescent="0.3">
      <c r="A89" s="8" t="s">
        <v>293</v>
      </c>
      <c r="B89" s="9" t="s">
        <v>535</v>
      </c>
      <c r="C89" s="9" t="s">
        <v>597</v>
      </c>
      <c r="D89" s="9">
        <v>15</v>
      </c>
      <c r="E89" s="9" t="s">
        <v>735</v>
      </c>
      <c r="F89" s="9" t="s">
        <v>735</v>
      </c>
      <c r="G89" s="10">
        <v>0.79236111111111107</v>
      </c>
      <c r="H89" s="9" t="s">
        <v>737</v>
      </c>
      <c r="I89" s="9">
        <v>1.28</v>
      </c>
      <c r="J89" s="9" t="s">
        <v>40</v>
      </c>
      <c r="K89" s="9">
        <v>182</v>
      </c>
      <c r="L89" s="9">
        <v>64</v>
      </c>
      <c r="M89" s="9" t="s">
        <v>22</v>
      </c>
      <c r="N89" s="9">
        <v>12</v>
      </c>
      <c r="O89" s="9" t="s">
        <v>23</v>
      </c>
      <c r="P89" s="9" t="s">
        <v>24</v>
      </c>
      <c r="Q89" s="9" t="str">
        <f t="shared" si="14"/>
        <v>None</v>
      </c>
      <c r="R89" s="9">
        <f t="shared" si="15"/>
        <v>34.999999999999872</v>
      </c>
      <c r="S89" s="9">
        <f t="shared" si="16"/>
        <v>0</v>
      </c>
      <c r="T89" s="9">
        <f t="shared" si="17"/>
        <v>0.99999999999999645</v>
      </c>
      <c r="U89" s="9">
        <f t="shared" si="27"/>
        <v>18.999999999999932</v>
      </c>
      <c r="V89" s="9">
        <f t="shared" si="18"/>
        <v>18</v>
      </c>
      <c r="W89" s="9" t="str">
        <f t="shared" si="19"/>
        <v>Peak Night</v>
      </c>
      <c r="X89" s="9" t="str">
        <f t="shared" si="20"/>
        <v>Peak</v>
      </c>
      <c r="Y89" s="23">
        <f t="shared" si="21"/>
        <v>6.7368421052631813E-2</v>
      </c>
      <c r="Z89" s="23">
        <f t="shared" si="22"/>
        <v>50</v>
      </c>
      <c r="AA89" s="23">
        <f t="shared" si="23"/>
        <v>0.35164835164835168</v>
      </c>
      <c r="AB89" s="9" t="str">
        <f t="shared" si="24"/>
        <v>On-Time</v>
      </c>
      <c r="AC89" s="9" t="str">
        <f t="shared" si="25"/>
        <v>No Delay</v>
      </c>
      <c r="AD89" s="64" t="str">
        <f t="shared" si="26"/>
        <v>Short (0-2km)</v>
      </c>
    </row>
    <row r="90" spans="1:30" x14ac:dyDescent="0.3">
      <c r="A90" s="8" t="s">
        <v>294</v>
      </c>
      <c r="B90" s="9" t="s">
        <v>463</v>
      </c>
      <c r="C90" s="9" t="s">
        <v>594</v>
      </c>
      <c r="D90" s="9">
        <v>33</v>
      </c>
      <c r="E90" s="9" t="s">
        <v>427</v>
      </c>
      <c r="F90" s="9" t="s">
        <v>568</v>
      </c>
      <c r="G90" s="10">
        <v>0.76041666666666674</v>
      </c>
      <c r="H90" s="9" t="s">
        <v>80</v>
      </c>
      <c r="I90" s="9">
        <v>6.6</v>
      </c>
      <c r="J90" s="9" t="s">
        <v>40</v>
      </c>
      <c r="K90" s="9">
        <v>370</v>
      </c>
      <c r="L90" s="9">
        <v>118</v>
      </c>
      <c r="M90" s="9" t="s">
        <v>22</v>
      </c>
      <c r="N90" s="9">
        <v>12</v>
      </c>
      <c r="O90" s="9" t="s">
        <v>23</v>
      </c>
      <c r="P90" s="9" t="s">
        <v>24</v>
      </c>
      <c r="Q90" s="9" t="str">
        <f t="shared" si="14"/>
        <v>Restaurant Delay</v>
      </c>
      <c r="R90" s="9">
        <f t="shared" si="15"/>
        <v>84.999999999999858</v>
      </c>
      <c r="S90" s="9">
        <f t="shared" si="16"/>
        <v>5.0000000000001421</v>
      </c>
      <c r="T90" s="9">
        <f t="shared" si="17"/>
        <v>0.99999999999999645</v>
      </c>
      <c r="U90" s="9">
        <f t="shared" si="27"/>
        <v>45.999999999999837</v>
      </c>
      <c r="V90" s="9">
        <f t="shared" si="18"/>
        <v>17</v>
      </c>
      <c r="W90" s="9" t="str">
        <f t="shared" si="19"/>
        <v>Evening</v>
      </c>
      <c r="X90" s="9" t="str">
        <f t="shared" si="20"/>
        <v>Peak</v>
      </c>
      <c r="Y90" s="23">
        <f t="shared" si="21"/>
        <v>0.14347826086956572</v>
      </c>
      <c r="Z90" s="23">
        <f t="shared" si="22"/>
        <v>17.878787878787879</v>
      </c>
      <c r="AA90" s="23">
        <f t="shared" si="23"/>
        <v>0.31891891891891894</v>
      </c>
      <c r="AB90" s="9" t="str">
        <f t="shared" si="24"/>
        <v>Late</v>
      </c>
      <c r="AC90" s="9" t="str">
        <f t="shared" si="25"/>
        <v>No Delay</v>
      </c>
      <c r="AD90" s="64" t="str">
        <f t="shared" si="26"/>
        <v>Long (5+km)</v>
      </c>
    </row>
    <row r="91" spans="1:30" x14ac:dyDescent="0.3">
      <c r="A91" s="8" t="s">
        <v>296</v>
      </c>
      <c r="B91" s="9" t="s">
        <v>165</v>
      </c>
      <c r="C91" s="9" t="s">
        <v>597</v>
      </c>
      <c r="D91" s="9">
        <v>15</v>
      </c>
      <c r="E91" s="9" t="s">
        <v>477</v>
      </c>
      <c r="F91" s="9" t="s">
        <v>144</v>
      </c>
      <c r="G91" s="10">
        <v>0.47083333333333333</v>
      </c>
      <c r="H91" s="9" t="s">
        <v>605</v>
      </c>
      <c r="I91" s="9">
        <v>2.82</v>
      </c>
      <c r="J91" s="9" t="s">
        <v>211</v>
      </c>
      <c r="K91" s="9">
        <v>369</v>
      </c>
      <c r="L91" s="9">
        <v>79</v>
      </c>
      <c r="M91" s="9" t="s">
        <v>22</v>
      </c>
      <c r="N91" s="9">
        <v>17</v>
      </c>
      <c r="O91" s="9" t="s">
        <v>23</v>
      </c>
      <c r="P91" s="9" t="s">
        <v>24</v>
      </c>
      <c r="Q91" s="9" t="str">
        <f t="shared" si="14"/>
        <v>None</v>
      </c>
      <c r="R91" s="9">
        <f t="shared" si="15"/>
        <v>45</v>
      </c>
      <c r="S91" s="9">
        <f t="shared" si="16"/>
        <v>3.0000000000000693</v>
      </c>
      <c r="T91" s="9">
        <f t="shared" si="17"/>
        <v>0.99999999999999645</v>
      </c>
      <c r="U91" s="9">
        <f t="shared" si="27"/>
        <v>25.999999999999986</v>
      </c>
      <c r="V91" s="9">
        <f t="shared" si="18"/>
        <v>10</v>
      </c>
      <c r="W91" s="9" t="str">
        <f t="shared" si="19"/>
        <v>Late Morning</v>
      </c>
      <c r="X91" s="9" t="str">
        <f t="shared" si="20"/>
        <v>Off-Peak</v>
      </c>
      <c r="Y91" s="23">
        <f t="shared" si="21"/>
        <v>0.10846153846153851</v>
      </c>
      <c r="Z91" s="23">
        <f t="shared" si="22"/>
        <v>28.014184397163124</v>
      </c>
      <c r="AA91" s="23">
        <f t="shared" si="23"/>
        <v>0.21409214092140921</v>
      </c>
      <c r="AB91" s="9" t="str">
        <f t="shared" si="24"/>
        <v>On-Time</v>
      </c>
      <c r="AC91" s="9" t="str">
        <f t="shared" si="25"/>
        <v>No Delay</v>
      </c>
      <c r="AD91" s="64" t="str">
        <f t="shared" si="26"/>
        <v>Medium (2-5km)</v>
      </c>
    </row>
    <row r="92" spans="1:30" x14ac:dyDescent="0.3">
      <c r="A92" s="8" t="s">
        <v>298</v>
      </c>
      <c r="B92" s="9" t="s">
        <v>452</v>
      </c>
      <c r="C92" s="9" t="s">
        <v>597</v>
      </c>
      <c r="D92" s="9">
        <v>13</v>
      </c>
      <c r="E92" s="9" t="s">
        <v>717</v>
      </c>
      <c r="F92" s="9" t="s">
        <v>131</v>
      </c>
      <c r="G92" s="10">
        <v>0.49513888888888885</v>
      </c>
      <c r="H92" s="9" t="s">
        <v>658</v>
      </c>
      <c r="I92" s="9">
        <v>2.44</v>
      </c>
      <c r="J92" s="9" t="s">
        <v>69</v>
      </c>
      <c r="K92" s="9">
        <v>250</v>
      </c>
      <c r="L92" s="9">
        <v>78</v>
      </c>
      <c r="M92" s="9" t="s">
        <v>22</v>
      </c>
      <c r="N92" s="9">
        <v>16</v>
      </c>
      <c r="O92" s="9" t="s">
        <v>23</v>
      </c>
      <c r="P92" s="9" t="s">
        <v>24</v>
      </c>
      <c r="Q92" s="9" t="str">
        <f t="shared" si="14"/>
        <v>None</v>
      </c>
      <c r="R92" s="9">
        <f t="shared" si="15"/>
        <v>42.999999999999929</v>
      </c>
      <c r="S92" s="9">
        <f t="shared" si="16"/>
        <v>1.9999999999999929</v>
      </c>
      <c r="T92" s="9">
        <f t="shared" si="17"/>
        <v>1.9999999999999929</v>
      </c>
      <c r="U92" s="9">
        <f t="shared" si="27"/>
        <v>25.999999999999986</v>
      </c>
      <c r="V92" s="9">
        <f t="shared" si="18"/>
        <v>11</v>
      </c>
      <c r="W92" s="9" t="str">
        <f t="shared" si="19"/>
        <v>Late Morning</v>
      </c>
      <c r="X92" s="9" t="str">
        <f t="shared" si="20"/>
        <v>Off-Peak</v>
      </c>
      <c r="Y92" s="23">
        <f t="shared" si="21"/>
        <v>9.3846153846153899E-2</v>
      </c>
      <c r="Z92" s="23">
        <f t="shared" si="22"/>
        <v>31.967213114754099</v>
      </c>
      <c r="AA92" s="23">
        <f t="shared" si="23"/>
        <v>0.312</v>
      </c>
      <c r="AB92" s="9" t="str">
        <f t="shared" si="24"/>
        <v>On-Time</v>
      </c>
      <c r="AC92" s="9" t="str">
        <f t="shared" si="25"/>
        <v>No Delay</v>
      </c>
      <c r="AD92" s="64" t="str">
        <f t="shared" si="26"/>
        <v>Medium (2-5km)</v>
      </c>
    </row>
    <row r="93" spans="1:30" x14ac:dyDescent="0.3">
      <c r="A93" s="8" t="s">
        <v>301</v>
      </c>
      <c r="B93" s="9" t="s">
        <v>680</v>
      </c>
      <c r="C93" s="9" t="s">
        <v>594</v>
      </c>
      <c r="D93" s="9">
        <v>39</v>
      </c>
      <c r="E93" s="9" t="s">
        <v>738</v>
      </c>
      <c r="F93" s="9" t="s">
        <v>735</v>
      </c>
      <c r="G93" s="10">
        <v>0.79513888888888884</v>
      </c>
      <c r="H93" s="9" t="s">
        <v>493</v>
      </c>
      <c r="I93" s="9">
        <v>6.04</v>
      </c>
      <c r="J93" s="9" t="s">
        <v>28</v>
      </c>
      <c r="K93" s="9">
        <v>287</v>
      </c>
      <c r="L93" s="9">
        <v>114</v>
      </c>
      <c r="M93" s="9" t="s">
        <v>22</v>
      </c>
      <c r="N93" s="9">
        <v>16</v>
      </c>
      <c r="O93" s="9" t="s">
        <v>23</v>
      </c>
      <c r="P93" s="9" t="s">
        <v>24</v>
      </c>
      <c r="Q93" s="9" t="str">
        <f t="shared" si="14"/>
        <v>Restaurant Delay</v>
      </c>
      <c r="R93" s="9">
        <f t="shared" si="15"/>
        <v>93.999999999999986</v>
      </c>
      <c r="S93" s="9">
        <f t="shared" si="16"/>
        <v>8.9999999999998082</v>
      </c>
      <c r="T93" s="9">
        <f t="shared" si="17"/>
        <v>4.9999999999999822</v>
      </c>
      <c r="U93" s="9">
        <f t="shared" si="27"/>
        <v>41.000000000000014</v>
      </c>
      <c r="V93" s="9">
        <f t="shared" si="18"/>
        <v>18</v>
      </c>
      <c r="W93" s="9" t="str">
        <f t="shared" si="19"/>
        <v>Peak Night</v>
      </c>
      <c r="X93" s="9" t="str">
        <f t="shared" si="20"/>
        <v>Peak</v>
      </c>
      <c r="Y93" s="23">
        <f t="shared" si="21"/>
        <v>0.14731707317073164</v>
      </c>
      <c r="Z93" s="23">
        <f t="shared" si="22"/>
        <v>18.874172185430464</v>
      </c>
      <c r="AA93" s="23">
        <f t="shared" si="23"/>
        <v>0.39721254355400698</v>
      </c>
      <c r="AB93" s="9" t="str">
        <f t="shared" si="24"/>
        <v>Late</v>
      </c>
      <c r="AC93" s="9" t="str">
        <f t="shared" si="25"/>
        <v>No Delay</v>
      </c>
      <c r="AD93" s="64" t="str">
        <f t="shared" si="26"/>
        <v>Long (5+km)</v>
      </c>
    </row>
    <row r="94" spans="1:30" x14ac:dyDescent="0.3">
      <c r="A94" s="8" t="s">
        <v>302</v>
      </c>
      <c r="B94" s="9" t="s">
        <v>511</v>
      </c>
      <c r="C94" s="9" t="s">
        <v>597</v>
      </c>
      <c r="D94" s="9">
        <v>13</v>
      </c>
      <c r="E94" s="9" t="s">
        <v>647</v>
      </c>
      <c r="F94" s="9" t="s">
        <v>647</v>
      </c>
      <c r="G94" s="10">
        <v>0.63541666666666663</v>
      </c>
      <c r="H94" s="9" t="s">
        <v>289</v>
      </c>
      <c r="I94" s="9">
        <v>4.6500000000000004</v>
      </c>
      <c r="J94" s="9" t="s">
        <v>69</v>
      </c>
      <c r="K94" s="9">
        <v>182</v>
      </c>
      <c r="L94" s="9">
        <v>94</v>
      </c>
      <c r="M94" s="9" t="s">
        <v>22</v>
      </c>
      <c r="N94" s="9">
        <v>17</v>
      </c>
      <c r="O94" s="9" t="s">
        <v>55</v>
      </c>
      <c r="P94" s="9" t="s">
        <v>24</v>
      </c>
      <c r="Q94" s="9" t="str">
        <f t="shared" si="14"/>
        <v>None</v>
      </c>
      <c r="R94" s="9">
        <f t="shared" si="15"/>
        <v>46</v>
      </c>
      <c r="S94" s="9">
        <f t="shared" si="16"/>
        <v>0</v>
      </c>
      <c r="T94" s="9">
        <f t="shared" si="17"/>
        <v>3.9999999999999858</v>
      </c>
      <c r="U94" s="9">
        <f t="shared" si="27"/>
        <v>29.000000000000057</v>
      </c>
      <c r="V94" s="9">
        <f t="shared" si="18"/>
        <v>14</v>
      </c>
      <c r="W94" s="9" t="str">
        <f t="shared" si="19"/>
        <v>Afternoon</v>
      </c>
      <c r="X94" s="9" t="str">
        <f t="shared" si="20"/>
        <v>Off-Peak</v>
      </c>
      <c r="Y94" s="23">
        <f t="shared" si="21"/>
        <v>0.16034482758620661</v>
      </c>
      <c r="Z94" s="23">
        <f t="shared" si="22"/>
        <v>20.21505376344086</v>
      </c>
      <c r="AA94" s="23">
        <f t="shared" si="23"/>
        <v>0.51648351648351654</v>
      </c>
      <c r="AB94" s="9" t="str">
        <f t="shared" si="24"/>
        <v>Late</v>
      </c>
      <c r="AC94" s="9" t="str">
        <f t="shared" si="25"/>
        <v>No Delay</v>
      </c>
      <c r="AD94" s="64" t="str">
        <f t="shared" si="26"/>
        <v>Medium (2-5km)</v>
      </c>
    </row>
    <row r="95" spans="1:30" x14ac:dyDescent="0.3">
      <c r="A95" s="8" t="s">
        <v>304</v>
      </c>
      <c r="B95" s="9" t="s">
        <v>442</v>
      </c>
      <c r="C95" s="9" t="s">
        <v>594</v>
      </c>
      <c r="D95" s="9">
        <v>35</v>
      </c>
      <c r="E95" s="9" t="s">
        <v>435</v>
      </c>
      <c r="F95" s="9" t="s">
        <v>26</v>
      </c>
      <c r="G95" s="10">
        <v>0.49305555555555558</v>
      </c>
      <c r="H95" s="9" t="s">
        <v>739</v>
      </c>
      <c r="I95" s="9">
        <v>3.23</v>
      </c>
      <c r="J95" s="9" t="s">
        <v>118</v>
      </c>
      <c r="K95" s="9">
        <v>341</v>
      </c>
      <c r="L95" s="9">
        <v>84</v>
      </c>
      <c r="M95" s="9" t="s">
        <v>22</v>
      </c>
      <c r="N95" s="9">
        <v>15</v>
      </c>
      <c r="O95" s="9" t="s">
        <v>23</v>
      </c>
      <c r="P95" s="9" t="s">
        <v>24</v>
      </c>
      <c r="Q95" s="9" t="str">
        <f t="shared" si="14"/>
        <v>Restaurant Delay</v>
      </c>
      <c r="R95" s="9">
        <f t="shared" si="15"/>
        <v>72.000000000000142</v>
      </c>
      <c r="S95" s="9">
        <f t="shared" si="16"/>
        <v>7.0000000000000551</v>
      </c>
      <c r="T95" s="9">
        <f t="shared" si="17"/>
        <v>1.9999999999999929</v>
      </c>
      <c r="U95" s="9">
        <f t="shared" si="27"/>
        <v>28.00000000000006</v>
      </c>
      <c r="V95" s="9">
        <f t="shared" si="18"/>
        <v>11</v>
      </c>
      <c r="W95" s="9" t="str">
        <f t="shared" si="19"/>
        <v>Late Morning</v>
      </c>
      <c r="X95" s="9" t="str">
        <f t="shared" si="20"/>
        <v>Off-Peak</v>
      </c>
      <c r="Y95" s="23">
        <f t="shared" si="21"/>
        <v>0.1153571428571426</v>
      </c>
      <c r="Z95" s="23">
        <f t="shared" si="22"/>
        <v>26.006191950464398</v>
      </c>
      <c r="AA95" s="23">
        <f t="shared" si="23"/>
        <v>0.24633431085043989</v>
      </c>
      <c r="AB95" s="9" t="str">
        <f t="shared" si="24"/>
        <v>Late</v>
      </c>
      <c r="AC95" s="9" t="str">
        <f t="shared" si="25"/>
        <v>No Delay</v>
      </c>
      <c r="AD95" s="64" t="str">
        <f t="shared" si="26"/>
        <v>Medium (2-5km)</v>
      </c>
    </row>
    <row r="96" spans="1:30" x14ac:dyDescent="0.3">
      <c r="A96" s="8" t="s">
        <v>306</v>
      </c>
      <c r="B96" s="9" t="s">
        <v>740</v>
      </c>
      <c r="C96" s="9" t="s">
        <v>594</v>
      </c>
      <c r="D96" s="9">
        <v>28</v>
      </c>
      <c r="E96" s="9" t="s">
        <v>80</v>
      </c>
      <c r="F96" s="9" t="s">
        <v>672</v>
      </c>
      <c r="G96" s="10">
        <v>0.79999999999999993</v>
      </c>
      <c r="H96" s="9" t="s">
        <v>431</v>
      </c>
      <c r="I96" s="9">
        <v>7.4</v>
      </c>
      <c r="J96" s="9" t="s">
        <v>62</v>
      </c>
      <c r="K96" s="9">
        <v>296</v>
      </c>
      <c r="L96" s="9">
        <v>126</v>
      </c>
      <c r="M96" s="9" t="s">
        <v>22</v>
      </c>
      <c r="N96" s="9">
        <v>13</v>
      </c>
      <c r="O96" s="9" t="s">
        <v>23</v>
      </c>
      <c r="P96" s="9" t="s">
        <v>24</v>
      </c>
      <c r="Q96" s="9" t="str">
        <f t="shared" si="14"/>
        <v>Restaurant Delay</v>
      </c>
      <c r="R96" s="9">
        <f t="shared" si="15"/>
        <v>86.000000000000014</v>
      </c>
      <c r="S96" s="9">
        <f t="shared" si="16"/>
        <v>6.9999999999999751</v>
      </c>
      <c r="T96" s="9">
        <f t="shared" si="17"/>
        <v>3.9999999999999858</v>
      </c>
      <c r="U96" s="9">
        <f t="shared" si="27"/>
        <v>47.000000000000156</v>
      </c>
      <c r="V96" s="9">
        <f t="shared" si="18"/>
        <v>18</v>
      </c>
      <c r="W96" s="9" t="str">
        <f t="shared" si="19"/>
        <v>Peak Night</v>
      </c>
      <c r="X96" s="9" t="str">
        <f t="shared" si="20"/>
        <v>Peak</v>
      </c>
      <c r="Y96" s="23">
        <f t="shared" si="21"/>
        <v>0.15744680851063778</v>
      </c>
      <c r="Z96" s="23">
        <f t="shared" si="22"/>
        <v>17.027027027027025</v>
      </c>
      <c r="AA96" s="23">
        <f t="shared" si="23"/>
        <v>0.42567567567567566</v>
      </c>
      <c r="AB96" s="9" t="str">
        <f t="shared" si="24"/>
        <v>Late</v>
      </c>
      <c r="AC96" s="9" t="str">
        <f t="shared" si="25"/>
        <v>No Delay</v>
      </c>
      <c r="AD96" s="64" t="str">
        <f t="shared" si="26"/>
        <v>Long (5+km)</v>
      </c>
    </row>
    <row r="97" spans="1:30" x14ac:dyDescent="0.3">
      <c r="A97" s="8" t="s">
        <v>309</v>
      </c>
      <c r="B97" s="9" t="s">
        <v>632</v>
      </c>
      <c r="C97" s="9" t="s">
        <v>597</v>
      </c>
      <c r="D97" s="9">
        <v>17</v>
      </c>
      <c r="E97" s="9" t="s">
        <v>742</v>
      </c>
      <c r="F97" s="9" t="s">
        <v>228</v>
      </c>
      <c r="G97" s="10">
        <v>0.75208333333333344</v>
      </c>
      <c r="H97" s="9" t="s">
        <v>146</v>
      </c>
      <c r="I97" s="9">
        <v>7.49</v>
      </c>
      <c r="J97" s="9" t="s">
        <v>62</v>
      </c>
      <c r="K97" s="9">
        <v>386</v>
      </c>
      <c r="L97" s="9">
        <v>126</v>
      </c>
      <c r="M97" s="9" t="s">
        <v>22</v>
      </c>
      <c r="N97" s="9">
        <v>15</v>
      </c>
      <c r="O97" s="9" t="s">
        <v>23</v>
      </c>
      <c r="P97" s="9" t="s">
        <v>24</v>
      </c>
      <c r="Q97" s="9" t="str">
        <f t="shared" si="14"/>
        <v>Distance</v>
      </c>
      <c r="R97" s="9">
        <f t="shared" si="15"/>
        <v>71.000000000000071</v>
      </c>
      <c r="S97" s="9">
        <f t="shared" si="16"/>
        <v>3.0000000000001492</v>
      </c>
      <c r="T97" s="9">
        <f t="shared" si="17"/>
        <v>0.99999999999999645</v>
      </c>
      <c r="U97" s="9">
        <f t="shared" si="27"/>
        <v>49.999999999999822</v>
      </c>
      <c r="V97" s="9">
        <f t="shared" si="18"/>
        <v>17</v>
      </c>
      <c r="W97" s="9" t="str">
        <f t="shared" si="19"/>
        <v>Evening</v>
      </c>
      <c r="X97" s="9" t="str">
        <f t="shared" si="20"/>
        <v>Peak</v>
      </c>
      <c r="Y97" s="23">
        <f t="shared" si="21"/>
        <v>0.14980000000000054</v>
      </c>
      <c r="Z97" s="23">
        <f t="shared" si="22"/>
        <v>16.822429906542055</v>
      </c>
      <c r="AA97" s="23">
        <f t="shared" si="23"/>
        <v>0.32642487046632124</v>
      </c>
      <c r="AB97" s="9" t="str">
        <f t="shared" si="24"/>
        <v>Late</v>
      </c>
      <c r="AC97" s="9" t="str">
        <f t="shared" si="25"/>
        <v>No Delay</v>
      </c>
      <c r="AD97" s="64" t="str">
        <f t="shared" si="26"/>
        <v>Long (5+km)</v>
      </c>
    </row>
    <row r="98" spans="1:30" x14ac:dyDescent="0.3">
      <c r="A98" s="8" t="s">
        <v>310</v>
      </c>
      <c r="B98" s="9" t="s">
        <v>616</v>
      </c>
      <c r="C98" s="9" t="s">
        <v>597</v>
      </c>
      <c r="D98" s="9">
        <v>12</v>
      </c>
      <c r="E98" s="9" t="s">
        <v>592</v>
      </c>
      <c r="F98" s="9" t="s">
        <v>599</v>
      </c>
      <c r="G98" s="10">
        <v>0.84861111111111109</v>
      </c>
      <c r="H98" s="9" t="s">
        <v>743</v>
      </c>
      <c r="I98" s="9">
        <v>4.45</v>
      </c>
      <c r="J98" s="9" t="s">
        <v>69</v>
      </c>
      <c r="K98" s="9">
        <v>329</v>
      </c>
      <c r="L98" s="9">
        <v>107</v>
      </c>
      <c r="M98" s="9" t="s">
        <v>22</v>
      </c>
      <c r="N98" s="9">
        <v>8</v>
      </c>
      <c r="O98" s="9" t="s">
        <v>34</v>
      </c>
      <c r="P98" s="9" t="s">
        <v>24</v>
      </c>
      <c r="Q98" s="9" t="str">
        <f t="shared" si="14"/>
        <v>Traffic</v>
      </c>
      <c r="R98" s="9">
        <f t="shared" si="15"/>
        <v>65.999999999999773</v>
      </c>
      <c r="S98" s="9">
        <f t="shared" si="16"/>
        <v>6.9999999999999751</v>
      </c>
      <c r="T98" s="9">
        <f t="shared" si="17"/>
        <v>10.999999999999961</v>
      </c>
      <c r="U98" s="9">
        <f t="shared" si="27"/>
        <v>35.999999999999872</v>
      </c>
      <c r="V98" s="9">
        <f t="shared" si="18"/>
        <v>19</v>
      </c>
      <c r="W98" s="9" t="str">
        <f t="shared" si="19"/>
        <v>Peak Night</v>
      </c>
      <c r="X98" s="9" t="str">
        <f t="shared" si="20"/>
        <v>Peak</v>
      </c>
      <c r="Y98" s="23">
        <f t="shared" si="21"/>
        <v>0.12361111111111156</v>
      </c>
      <c r="Z98" s="23">
        <f t="shared" si="22"/>
        <v>24.044943820224717</v>
      </c>
      <c r="AA98" s="23">
        <f t="shared" si="23"/>
        <v>0.32522796352583588</v>
      </c>
      <c r="AB98" s="9" t="str">
        <f t="shared" si="24"/>
        <v>Late</v>
      </c>
      <c r="AC98" s="9" t="str">
        <f t="shared" si="25"/>
        <v>No Delay</v>
      </c>
      <c r="AD98" s="64" t="str">
        <f t="shared" si="26"/>
        <v>Medium (2-5km)</v>
      </c>
    </row>
    <row r="99" spans="1:30" x14ac:dyDescent="0.3">
      <c r="A99" s="8" t="s">
        <v>312</v>
      </c>
      <c r="B99" s="9" t="s">
        <v>223</v>
      </c>
      <c r="C99" s="9" t="s">
        <v>597</v>
      </c>
      <c r="D99" s="9">
        <v>20</v>
      </c>
      <c r="E99" s="9" t="s">
        <v>358</v>
      </c>
      <c r="F99" s="9" t="s">
        <v>196</v>
      </c>
      <c r="G99" s="10">
        <v>0.67291666666666661</v>
      </c>
      <c r="H99" s="9" t="s">
        <v>744</v>
      </c>
      <c r="I99" s="9">
        <v>3.15</v>
      </c>
      <c r="J99" s="9" t="s">
        <v>28</v>
      </c>
      <c r="K99" s="9">
        <v>192</v>
      </c>
      <c r="L99" s="9">
        <v>79</v>
      </c>
      <c r="M99" s="9" t="s">
        <v>22</v>
      </c>
      <c r="N99" s="9">
        <v>17</v>
      </c>
      <c r="O99" s="9" t="s">
        <v>55</v>
      </c>
      <c r="P99" s="9" t="s">
        <v>24</v>
      </c>
      <c r="Q99" s="9" t="str">
        <f t="shared" si="14"/>
        <v>None</v>
      </c>
      <c r="R99" s="9">
        <f t="shared" si="15"/>
        <v>46.999999999999993</v>
      </c>
      <c r="S99" s="9">
        <f t="shared" si="16"/>
        <v>1.999999999999833</v>
      </c>
      <c r="T99" s="9">
        <f t="shared" si="17"/>
        <v>0.99999999999999645</v>
      </c>
      <c r="U99" s="9">
        <f t="shared" si="27"/>
        <v>24.000000000000075</v>
      </c>
      <c r="V99" s="9">
        <f t="shared" si="18"/>
        <v>15</v>
      </c>
      <c r="W99" s="9" t="str">
        <f t="shared" si="19"/>
        <v>Evening</v>
      </c>
      <c r="X99" s="9" t="str">
        <f t="shared" si="20"/>
        <v>Off-Peak</v>
      </c>
      <c r="Y99" s="23">
        <f t="shared" si="21"/>
        <v>0.13124999999999959</v>
      </c>
      <c r="Z99" s="23">
        <f t="shared" si="22"/>
        <v>25.079365079365079</v>
      </c>
      <c r="AA99" s="23">
        <f t="shared" si="23"/>
        <v>0.41145833333333331</v>
      </c>
      <c r="AB99" s="9" t="str">
        <f t="shared" si="24"/>
        <v>Late</v>
      </c>
      <c r="AC99" s="9" t="str">
        <f t="shared" si="25"/>
        <v>No Delay</v>
      </c>
      <c r="AD99" s="64" t="str">
        <f t="shared" si="26"/>
        <v>Medium (2-5km)</v>
      </c>
    </row>
    <row r="100" spans="1:30" x14ac:dyDescent="0.3">
      <c r="A100" s="8" t="s">
        <v>314</v>
      </c>
      <c r="B100" s="9" t="s">
        <v>20</v>
      </c>
      <c r="C100" s="9" t="s">
        <v>597</v>
      </c>
      <c r="D100" s="9">
        <v>13</v>
      </c>
      <c r="E100" s="9" t="s">
        <v>669</v>
      </c>
      <c r="F100" s="9" t="s">
        <v>745</v>
      </c>
      <c r="G100" s="10">
        <v>0.53541666666666665</v>
      </c>
      <c r="H100" s="9" t="s">
        <v>210</v>
      </c>
      <c r="I100" s="9">
        <v>7.35</v>
      </c>
      <c r="J100" s="9" t="s">
        <v>90</v>
      </c>
      <c r="K100" s="9">
        <v>390</v>
      </c>
      <c r="L100" s="9">
        <v>124</v>
      </c>
      <c r="M100" s="9" t="s">
        <v>22</v>
      </c>
      <c r="N100" s="9">
        <v>16</v>
      </c>
      <c r="O100" s="9" t="s">
        <v>23</v>
      </c>
      <c r="P100" s="9" t="s">
        <v>24</v>
      </c>
      <c r="Q100" s="9" t="str">
        <f t="shared" si="14"/>
        <v>Distance</v>
      </c>
      <c r="R100" s="9">
        <f t="shared" si="15"/>
        <v>62.999999999999936</v>
      </c>
      <c r="S100" s="9">
        <f t="shared" si="16"/>
        <v>0.99999999999999645</v>
      </c>
      <c r="T100" s="9">
        <f t="shared" si="17"/>
        <v>5.9999999999999787</v>
      </c>
      <c r="U100" s="9">
        <f t="shared" si="27"/>
        <v>43.000000000000007</v>
      </c>
      <c r="V100" s="9">
        <f t="shared" si="18"/>
        <v>12</v>
      </c>
      <c r="W100" s="9" t="str">
        <f t="shared" si="19"/>
        <v>Afternoon</v>
      </c>
      <c r="X100" s="9" t="str">
        <f t="shared" si="20"/>
        <v>Peak</v>
      </c>
      <c r="Y100" s="23">
        <f t="shared" si="21"/>
        <v>0.17093023255813949</v>
      </c>
      <c r="Z100" s="23">
        <f t="shared" si="22"/>
        <v>16.870748299319729</v>
      </c>
      <c r="AA100" s="23">
        <f t="shared" si="23"/>
        <v>0.31794871794871793</v>
      </c>
      <c r="AB100" s="9" t="str">
        <f t="shared" si="24"/>
        <v>Late</v>
      </c>
      <c r="AC100" s="9" t="str">
        <f t="shared" si="25"/>
        <v>No Delay</v>
      </c>
      <c r="AD100" s="64" t="str">
        <f t="shared" si="26"/>
        <v>Long (5+km)</v>
      </c>
    </row>
    <row r="101" spans="1:30" x14ac:dyDescent="0.3">
      <c r="A101" s="8" t="s">
        <v>317</v>
      </c>
      <c r="B101" s="9" t="s">
        <v>267</v>
      </c>
      <c r="C101" s="9" t="s">
        <v>597</v>
      </c>
      <c r="D101" s="9">
        <v>18</v>
      </c>
      <c r="E101" s="9" t="s">
        <v>525</v>
      </c>
      <c r="F101" s="9" t="s">
        <v>251</v>
      </c>
      <c r="G101" s="10">
        <v>0.46597222222222218</v>
      </c>
      <c r="H101" s="9" t="s">
        <v>17</v>
      </c>
      <c r="I101" s="9">
        <v>6</v>
      </c>
      <c r="J101" s="9" t="s">
        <v>69</v>
      </c>
      <c r="K101" s="9">
        <v>311</v>
      </c>
      <c r="L101" s="9">
        <v>112</v>
      </c>
      <c r="M101" s="9" t="s">
        <v>22</v>
      </c>
      <c r="N101" s="9">
        <v>17</v>
      </c>
      <c r="O101" s="9" t="s">
        <v>23</v>
      </c>
      <c r="P101" s="9" t="s">
        <v>24</v>
      </c>
      <c r="Q101" s="9" t="str">
        <f t="shared" si="14"/>
        <v>Distance</v>
      </c>
      <c r="R101" s="9">
        <f t="shared" si="15"/>
        <v>63.000000000000014</v>
      </c>
      <c r="S101" s="9">
        <f t="shared" si="16"/>
        <v>0.99999999999991651</v>
      </c>
      <c r="T101" s="9">
        <f t="shared" si="17"/>
        <v>0.99999999999999645</v>
      </c>
      <c r="U101" s="9">
        <f t="shared" si="27"/>
        <v>43.000000000000085</v>
      </c>
      <c r="V101" s="9">
        <f t="shared" si="18"/>
        <v>10</v>
      </c>
      <c r="W101" s="9" t="str">
        <f t="shared" si="19"/>
        <v>Late Morning</v>
      </c>
      <c r="X101" s="9" t="str">
        <f t="shared" si="20"/>
        <v>Off-Peak</v>
      </c>
      <c r="Y101" s="23">
        <f t="shared" si="21"/>
        <v>0.13953488372092995</v>
      </c>
      <c r="Z101" s="23">
        <f t="shared" si="22"/>
        <v>18.666666666666668</v>
      </c>
      <c r="AA101" s="23">
        <f t="shared" si="23"/>
        <v>0.36012861736334406</v>
      </c>
      <c r="AB101" s="9" t="str">
        <f t="shared" si="24"/>
        <v>Late</v>
      </c>
      <c r="AC101" s="9" t="str">
        <f t="shared" si="25"/>
        <v>No Delay</v>
      </c>
      <c r="AD101" s="64" t="str">
        <f t="shared" si="26"/>
        <v>Long (5+km)</v>
      </c>
    </row>
    <row r="102" spans="1:30" x14ac:dyDescent="0.3">
      <c r="A102" s="8" t="s">
        <v>319</v>
      </c>
      <c r="B102" s="9" t="s">
        <v>492</v>
      </c>
      <c r="C102" s="9" t="s">
        <v>597</v>
      </c>
      <c r="D102" s="9">
        <v>11</v>
      </c>
      <c r="E102" s="9" t="s">
        <v>741</v>
      </c>
      <c r="F102" s="9" t="s">
        <v>147</v>
      </c>
      <c r="G102" s="10">
        <v>0.80069444444444449</v>
      </c>
      <c r="H102" s="9" t="s">
        <v>140</v>
      </c>
      <c r="I102" s="9">
        <v>5.5</v>
      </c>
      <c r="J102" s="9" t="s">
        <v>28</v>
      </c>
      <c r="K102" s="9">
        <v>260</v>
      </c>
      <c r="L102" s="9">
        <v>106</v>
      </c>
      <c r="M102" s="9" t="s">
        <v>22</v>
      </c>
      <c r="N102" s="9">
        <v>18</v>
      </c>
      <c r="O102" s="9" t="s">
        <v>23</v>
      </c>
      <c r="P102" s="9" t="s">
        <v>24</v>
      </c>
      <c r="Q102" s="9" t="str">
        <f t="shared" si="14"/>
        <v>None</v>
      </c>
      <c r="R102" s="9">
        <f t="shared" si="15"/>
        <v>51.999999999999972</v>
      </c>
      <c r="S102" s="9">
        <f t="shared" si="16"/>
        <v>0.99999999999999645</v>
      </c>
      <c r="T102" s="9">
        <f t="shared" si="17"/>
        <v>1.9999999999999929</v>
      </c>
      <c r="U102" s="9">
        <f t="shared" si="27"/>
        <v>38.000000000000028</v>
      </c>
      <c r="V102" s="9">
        <f t="shared" si="18"/>
        <v>18</v>
      </c>
      <c r="W102" s="9" t="str">
        <f t="shared" si="19"/>
        <v>Peak Night</v>
      </c>
      <c r="X102" s="9" t="str">
        <f t="shared" si="20"/>
        <v>Peak</v>
      </c>
      <c r="Y102" s="23">
        <f t="shared" si="21"/>
        <v>0.14473684210526305</v>
      </c>
      <c r="Z102" s="23">
        <f t="shared" si="22"/>
        <v>19.272727272727273</v>
      </c>
      <c r="AA102" s="23">
        <f t="shared" si="23"/>
        <v>0.40769230769230769</v>
      </c>
      <c r="AB102" s="9" t="str">
        <f t="shared" si="24"/>
        <v>Late</v>
      </c>
      <c r="AC102" s="9" t="str">
        <f t="shared" si="25"/>
        <v>No Delay</v>
      </c>
      <c r="AD102" s="64" t="str">
        <f t="shared" si="26"/>
        <v>Long (5+km)</v>
      </c>
    </row>
    <row r="103" spans="1:30" x14ac:dyDescent="0.3">
      <c r="A103" s="8" t="s">
        <v>321</v>
      </c>
      <c r="B103" s="9" t="s">
        <v>503</v>
      </c>
      <c r="C103" s="9" t="s">
        <v>597</v>
      </c>
      <c r="D103" s="9">
        <v>17</v>
      </c>
      <c r="E103" s="9" t="s">
        <v>744</v>
      </c>
      <c r="F103" s="9" t="s">
        <v>162</v>
      </c>
      <c r="G103" s="10">
        <v>0.69166666666666665</v>
      </c>
      <c r="H103" s="9" t="s">
        <v>213</v>
      </c>
      <c r="I103" s="9">
        <v>2.54</v>
      </c>
      <c r="J103" s="9" t="s">
        <v>160</v>
      </c>
      <c r="K103" s="9">
        <v>371</v>
      </c>
      <c r="L103" s="9">
        <v>72</v>
      </c>
      <c r="M103" s="9" t="s">
        <v>22</v>
      </c>
      <c r="N103" s="9">
        <v>20</v>
      </c>
      <c r="O103" s="9" t="s">
        <v>55</v>
      </c>
      <c r="P103" s="9" t="s">
        <v>24</v>
      </c>
      <c r="Q103" s="9" t="str">
        <f t="shared" si="14"/>
        <v>None</v>
      </c>
      <c r="R103" s="9">
        <f t="shared" si="15"/>
        <v>39.000000000000185</v>
      </c>
      <c r="S103" s="9">
        <f t="shared" si="16"/>
        <v>0.99999999999999645</v>
      </c>
      <c r="T103" s="9">
        <f t="shared" si="17"/>
        <v>1.9999999999999929</v>
      </c>
      <c r="U103" s="9">
        <f t="shared" si="27"/>
        <v>19.000000000000092</v>
      </c>
      <c r="V103" s="9">
        <f t="shared" si="18"/>
        <v>16</v>
      </c>
      <c r="W103" s="9" t="str">
        <f t="shared" si="19"/>
        <v>Evening</v>
      </c>
      <c r="X103" s="9" t="str">
        <f t="shared" si="20"/>
        <v>Off-Peak</v>
      </c>
      <c r="Y103" s="23">
        <f t="shared" si="21"/>
        <v>0.13368421052631513</v>
      </c>
      <c r="Z103" s="23">
        <f t="shared" si="22"/>
        <v>28.346456692913385</v>
      </c>
      <c r="AA103" s="23">
        <f t="shared" si="23"/>
        <v>0.19407008086253369</v>
      </c>
      <c r="AB103" s="9" t="str">
        <f t="shared" si="24"/>
        <v>On-Time</v>
      </c>
      <c r="AC103" s="9" t="str">
        <f t="shared" si="25"/>
        <v>No Delay</v>
      </c>
      <c r="AD103" s="64" t="str">
        <f t="shared" si="26"/>
        <v>Medium (2-5km)</v>
      </c>
    </row>
    <row r="104" spans="1:30" x14ac:dyDescent="0.3">
      <c r="A104" s="8" t="s">
        <v>323</v>
      </c>
      <c r="B104" s="9" t="s">
        <v>214</v>
      </c>
      <c r="C104" s="9" t="s">
        <v>597</v>
      </c>
      <c r="D104" s="9">
        <v>15</v>
      </c>
      <c r="E104" s="9" t="s">
        <v>313</v>
      </c>
      <c r="F104" s="9" t="s">
        <v>313</v>
      </c>
      <c r="G104" s="10">
        <v>0.73263888888888884</v>
      </c>
      <c r="H104" s="9" t="s">
        <v>217</v>
      </c>
      <c r="I104" s="9">
        <v>6.59</v>
      </c>
      <c r="J104" s="9" t="s">
        <v>54</v>
      </c>
      <c r="K104" s="9">
        <v>399</v>
      </c>
      <c r="L104" s="9">
        <v>116</v>
      </c>
      <c r="M104" s="9" t="s">
        <v>22</v>
      </c>
      <c r="N104" s="9">
        <v>16</v>
      </c>
      <c r="O104" s="9" t="s">
        <v>23</v>
      </c>
      <c r="P104" s="9" t="s">
        <v>24</v>
      </c>
      <c r="Q104" s="9" t="str">
        <f t="shared" si="14"/>
        <v>Distance</v>
      </c>
      <c r="R104" s="9">
        <f t="shared" si="15"/>
        <v>59.999999999999943</v>
      </c>
      <c r="S104" s="9">
        <f t="shared" si="16"/>
        <v>0</v>
      </c>
      <c r="T104" s="9">
        <f t="shared" si="17"/>
        <v>4.9999999999999822</v>
      </c>
      <c r="U104" s="9">
        <f t="shared" si="27"/>
        <v>40.000000000000014</v>
      </c>
      <c r="V104" s="9">
        <f t="shared" si="18"/>
        <v>17</v>
      </c>
      <c r="W104" s="9" t="str">
        <f t="shared" si="19"/>
        <v>Evening</v>
      </c>
      <c r="X104" s="9" t="str">
        <f t="shared" si="20"/>
        <v>Peak</v>
      </c>
      <c r="Y104" s="23">
        <f t="shared" si="21"/>
        <v>0.16474999999999992</v>
      </c>
      <c r="Z104" s="23">
        <f t="shared" si="22"/>
        <v>17.602427921092566</v>
      </c>
      <c r="AA104" s="23">
        <f t="shared" si="23"/>
        <v>0.2907268170426065</v>
      </c>
      <c r="AB104" s="9" t="str">
        <f t="shared" si="24"/>
        <v>Late</v>
      </c>
      <c r="AC104" s="9" t="str">
        <f t="shared" si="25"/>
        <v>No Delay</v>
      </c>
      <c r="AD104" s="64" t="str">
        <f t="shared" si="26"/>
        <v>Long (5+km)</v>
      </c>
    </row>
    <row r="105" spans="1:30" x14ac:dyDescent="0.3">
      <c r="A105" s="8" t="s">
        <v>325</v>
      </c>
      <c r="B105" s="9" t="s">
        <v>723</v>
      </c>
      <c r="C105" s="9" t="s">
        <v>597</v>
      </c>
      <c r="D105" s="9">
        <v>18</v>
      </c>
      <c r="E105" s="9" t="s">
        <v>214</v>
      </c>
      <c r="F105" s="9" t="s">
        <v>214</v>
      </c>
      <c r="G105" s="10">
        <v>0.71944444444444444</v>
      </c>
      <c r="H105" s="9" t="s">
        <v>692</v>
      </c>
      <c r="I105" s="9">
        <v>7.13</v>
      </c>
      <c r="J105" s="9" t="s">
        <v>118</v>
      </c>
      <c r="K105" s="9">
        <v>375</v>
      </c>
      <c r="L105" s="9">
        <v>120</v>
      </c>
      <c r="M105" s="9" t="s">
        <v>22</v>
      </c>
      <c r="N105" s="9">
        <v>18</v>
      </c>
      <c r="O105" s="9" t="s">
        <v>55</v>
      </c>
      <c r="P105" s="9" t="s">
        <v>24</v>
      </c>
      <c r="Q105" s="9" t="str">
        <f t="shared" si="14"/>
        <v>Distance</v>
      </c>
      <c r="R105" s="9">
        <f t="shared" si="15"/>
        <v>64.000000000000085</v>
      </c>
      <c r="S105" s="9">
        <f t="shared" si="16"/>
        <v>0</v>
      </c>
      <c r="T105" s="9">
        <f t="shared" si="17"/>
        <v>0.99999999999999645</v>
      </c>
      <c r="U105" s="9">
        <f t="shared" si="27"/>
        <v>45</v>
      </c>
      <c r="V105" s="9">
        <f t="shared" si="18"/>
        <v>16</v>
      </c>
      <c r="W105" s="9" t="str">
        <f t="shared" si="19"/>
        <v>Evening</v>
      </c>
      <c r="X105" s="9" t="str">
        <f t="shared" si="20"/>
        <v>Off-Peak</v>
      </c>
      <c r="Y105" s="23">
        <f t="shared" si="21"/>
        <v>0.15844444444444444</v>
      </c>
      <c r="Z105" s="23">
        <f t="shared" si="22"/>
        <v>16.830294530154276</v>
      </c>
      <c r="AA105" s="23">
        <f t="shared" si="23"/>
        <v>0.32</v>
      </c>
      <c r="AB105" s="9" t="str">
        <f t="shared" si="24"/>
        <v>Late</v>
      </c>
      <c r="AC105" s="9" t="str">
        <f t="shared" si="25"/>
        <v>No Delay</v>
      </c>
      <c r="AD105" s="64" t="str">
        <f t="shared" si="26"/>
        <v>Long (5+km)</v>
      </c>
    </row>
    <row r="106" spans="1:30" x14ac:dyDescent="0.3">
      <c r="A106" s="8" t="s">
        <v>329</v>
      </c>
      <c r="B106" s="9" t="s">
        <v>616</v>
      </c>
      <c r="C106" s="9" t="s">
        <v>597</v>
      </c>
      <c r="D106" s="9">
        <v>10</v>
      </c>
      <c r="E106" s="9" t="s">
        <v>387</v>
      </c>
      <c r="F106" s="9" t="s">
        <v>592</v>
      </c>
      <c r="G106" s="10">
        <v>0.84166666666666667</v>
      </c>
      <c r="H106" s="9" t="s">
        <v>748</v>
      </c>
      <c r="I106" s="9">
        <v>1.04</v>
      </c>
      <c r="J106" s="9" t="s">
        <v>28</v>
      </c>
      <c r="K106" s="9">
        <v>314</v>
      </c>
      <c r="L106" s="9">
        <v>72</v>
      </c>
      <c r="M106" s="9" t="s">
        <v>22</v>
      </c>
      <c r="N106" s="9">
        <v>10</v>
      </c>
      <c r="O106" s="9" t="s">
        <v>34</v>
      </c>
      <c r="P106" s="9" t="s">
        <v>24</v>
      </c>
      <c r="Q106" s="9" t="str">
        <f t="shared" si="14"/>
        <v>Traffic</v>
      </c>
      <c r="R106" s="9">
        <f t="shared" si="15"/>
        <v>41.000000000000014</v>
      </c>
      <c r="S106" s="9">
        <f t="shared" si="16"/>
        <v>1.9999999999999929</v>
      </c>
      <c r="T106" s="9">
        <f t="shared" si="17"/>
        <v>7.9999999999999716</v>
      </c>
      <c r="U106" s="9">
        <f t="shared" si="27"/>
        <v>21.000000000000085</v>
      </c>
      <c r="V106" s="9">
        <f t="shared" si="18"/>
        <v>19</v>
      </c>
      <c r="W106" s="9" t="str">
        <f t="shared" si="19"/>
        <v>Peak Night</v>
      </c>
      <c r="X106" s="9" t="str">
        <f t="shared" si="20"/>
        <v>Peak</v>
      </c>
      <c r="Y106" s="23">
        <f t="shared" si="21"/>
        <v>4.9523809523809324E-2</v>
      </c>
      <c r="Z106" s="23">
        <f t="shared" si="22"/>
        <v>69.230769230769226</v>
      </c>
      <c r="AA106" s="23">
        <f t="shared" si="23"/>
        <v>0.22929936305732485</v>
      </c>
      <c r="AB106" s="9" t="str">
        <f t="shared" si="24"/>
        <v>On-Time</v>
      </c>
      <c r="AC106" s="9" t="str">
        <f t="shared" si="25"/>
        <v>No Delay</v>
      </c>
      <c r="AD106" s="64" t="str">
        <f t="shared" si="26"/>
        <v>Short (0-2km)</v>
      </c>
    </row>
    <row r="107" spans="1:30" x14ac:dyDescent="0.3">
      <c r="A107" s="8" t="s">
        <v>330</v>
      </c>
      <c r="B107" s="9" t="s">
        <v>521</v>
      </c>
      <c r="C107" s="9" t="s">
        <v>594</v>
      </c>
      <c r="D107" s="9">
        <v>34</v>
      </c>
      <c r="E107" s="9" t="s">
        <v>31</v>
      </c>
      <c r="F107" s="9" t="s">
        <v>149</v>
      </c>
      <c r="G107" s="10">
        <v>0.8354166666666667</v>
      </c>
      <c r="H107" s="9" t="s">
        <v>642</v>
      </c>
      <c r="I107" s="9">
        <v>7.8</v>
      </c>
      <c r="J107" s="9" t="s">
        <v>211</v>
      </c>
      <c r="K107" s="9">
        <v>291</v>
      </c>
      <c r="L107" s="9">
        <v>138</v>
      </c>
      <c r="M107" s="9" t="s">
        <v>22</v>
      </c>
      <c r="N107" s="9">
        <v>12</v>
      </c>
      <c r="O107" s="9" t="s">
        <v>34</v>
      </c>
      <c r="P107" s="9" t="s">
        <v>24</v>
      </c>
      <c r="Q107" s="9" t="str">
        <f t="shared" si="14"/>
        <v>Traffic</v>
      </c>
      <c r="R107" s="9">
        <f t="shared" si="15"/>
        <v>104.00000000000011</v>
      </c>
      <c r="S107" s="9">
        <f t="shared" si="16"/>
        <v>8.999999999999968</v>
      </c>
      <c r="T107" s="9">
        <f t="shared" si="17"/>
        <v>6.9999999999999751</v>
      </c>
      <c r="U107" s="9">
        <f t="shared" si="27"/>
        <v>53.999999999999972</v>
      </c>
      <c r="V107" s="9">
        <f t="shared" si="18"/>
        <v>19</v>
      </c>
      <c r="W107" s="9" t="str">
        <f t="shared" si="19"/>
        <v>Peak Night</v>
      </c>
      <c r="X107" s="9" t="str">
        <f t="shared" si="20"/>
        <v>Peak</v>
      </c>
      <c r="Y107" s="23">
        <f t="shared" si="21"/>
        <v>0.14444444444444451</v>
      </c>
      <c r="Z107" s="23">
        <f t="shared" si="22"/>
        <v>17.692307692307693</v>
      </c>
      <c r="AA107" s="23">
        <f t="shared" si="23"/>
        <v>0.47422680412371132</v>
      </c>
      <c r="AB107" s="9" t="str">
        <f t="shared" si="24"/>
        <v>Late</v>
      </c>
      <c r="AC107" s="9" t="str">
        <f t="shared" si="25"/>
        <v>No Delay</v>
      </c>
      <c r="AD107" s="64" t="str">
        <f t="shared" si="26"/>
        <v>Long (5+km)</v>
      </c>
    </row>
    <row r="108" spans="1:30" x14ac:dyDescent="0.3">
      <c r="A108" s="8" t="s">
        <v>333</v>
      </c>
      <c r="B108" s="9" t="s">
        <v>749</v>
      </c>
      <c r="C108" s="9" t="s">
        <v>597</v>
      </c>
      <c r="D108" s="9">
        <v>18</v>
      </c>
      <c r="E108" s="9" t="s">
        <v>667</v>
      </c>
      <c r="F108" s="9" t="s">
        <v>461</v>
      </c>
      <c r="G108" s="10">
        <v>0.80555555555555558</v>
      </c>
      <c r="H108" s="9" t="s">
        <v>307</v>
      </c>
      <c r="I108" s="9">
        <v>5.41</v>
      </c>
      <c r="J108" s="9" t="s">
        <v>118</v>
      </c>
      <c r="K108" s="9">
        <v>183</v>
      </c>
      <c r="L108" s="9">
        <v>108</v>
      </c>
      <c r="M108" s="9" t="s">
        <v>22</v>
      </c>
      <c r="N108" s="9">
        <v>15</v>
      </c>
      <c r="O108" s="9" t="s">
        <v>23</v>
      </c>
      <c r="P108" s="9" t="s">
        <v>24</v>
      </c>
      <c r="Q108" s="9" t="str">
        <f t="shared" si="14"/>
        <v>None</v>
      </c>
      <c r="R108" s="9">
        <f t="shared" si="15"/>
        <v>62.999999999999936</v>
      </c>
      <c r="S108" s="9">
        <f t="shared" si="16"/>
        <v>2.0000000000001528</v>
      </c>
      <c r="T108" s="9">
        <f t="shared" si="17"/>
        <v>1.9999999999999929</v>
      </c>
      <c r="U108" s="9">
        <f t="shared" si="27"/>
        <v>40.999999999999858</v>
      </c>
      <c r="V108" s="9">
        <f t="shared" si="18"/>
        <v>18</v>
      </c>
      <c r="W108" s="9" t="str">
        <f t="shared" si="19"/>
        <v>Peak Night</v>
      </c>
      <c r="X108" s="9" t="str">
        <f t="shared" si="20"/>
        <v>Peak</v>
      </c>
      <c r="Y108" s="23">
        <f t="shared" si="21"/>
        <v>0.13195121951219557</v>
      </c>
      <c r="Z108" s="23">
        <f t="shared" si="22"/>
        <v>19.963031423290204</v>
      </c>
      <c r="AA108" s="23">
        <f t="shared" si="23"/>
        <v>0.5901639344262295</v>
      </c>
      <c r="AB108" s="9" t="str">
        <f t="shared" si="24"/>
        <v>Late</v>
      </c>
      <c r="AC108" s="9" t="str">
        <f t="shared" si="25"/>
        <v>No Delay</v>
      </c>
      <c r="AD108" s="64" t="str">
        <f t="shared" si="26"/>
        <v>Long (5+km)</v>
      </c>
    </row>
    <row r="109" spans="1:30" x14ac:dyDescent="0.3">
      <c r="A109" s="8" t="s">
        <v>336</v>
      </c>
      <c r="B109" s="9" t="s">
        <v>624</v>
      </c>
      <c r="C109" s="9" t="s">
        <v>597</v>
      </c>
      <c r="D109" s="9">
        <v>18</v>
      </c>
      <c r="E109" s="9" t="s">
        <v>39</v>
      </c>
      <c r="F109" s="9" t="s">
        <v>39</v>
      </c>
      <c r="G109" s="10">
        <v>0.74583333333333335</v>
      </c>
      <c r="H109" s="9" t="s">
        <v>612</v>
      </c>
      <c r="I109" s="9">
        <v>2.77</v>
      </c>
      <c r="J109" s="9" t="s">
        <v>69</v>
      </c>
      <c r="K109" s="9">
        <v>338</v>
      </c>
      <c r="L109" s="9">
        <v>78</v>
      </c>
      <c r="M109" s="9" t="s">
        <v>22</v>
      </c>
      <c r="N109" s="9">
        <v>18</v>
      </c>
      <c r="O109" s="9" t="s">
        <v>23</v>
      </c>
      <c r="P109" s="9" t="s">
        <v>24</v>
      </c>
      <c r="Q109" s="9" t="str">
        <f t="shared" si="14"/>
        <v>None</v>
      </c>
      <c r="R109" s="9">
        <f t="shared" si="15"/>
        <v>44.000000000000163</v>
      </c>
      <c r="S109" s="9">
        <f t="shared" si="16"/>
        <v>0</v>
      </c>
      <c r="T109" s="9">
        <f t="shared" si="17"/>
        <v>1.9999999999999929</v>
      </c>
      <c r="U109" s="9">
        <f t="shared" si="27"/>
        <v>24.000000000000075</v>
      </c>
      <c r="V109" s="9">
        <f t="shared" si="18"/>
        <v>17</v>
      </c>
      <c r="W109" s="9" t="str">
        <f t="shared" si="19"/>
        <v>Evening</v>
      </c>
      <c r="X109" s="9" t="str">
        <f t="shared" si="20"/>
        <v>Peak</v>
      </c>
      <c r="Y109" s="23">
        <f t="shared" si="21"/>
        <v>0.11541666666666631</v>
      </c>
      <c r="Z109" s="23">
        <f t="shared" si="22"/>
        <v>28.158844765342959</v>
      </c>
      <c r="AA109" s="23">
        <f t="shared" si="23"/>
        <v>0.23076923076923078</v>
      </c>
      <c r="AB109" s="9" t="str">
        <f t="shared" si="24"/>
        <v>On-Time</v>
      </c>
      <c r="AC109" s="9" t="str">
        <f t="shared" si="25"/>
        <v>No Delay</v>
      </c>
      <c r="AD109" s="64" t="str">
        <f t="shared" si="26"/>
        <v>Medium (2-5km)</v>
      </c>
    </row>
    <row r="110" spans="1:30" x14ac:dyDescent="0.3">
      <c r="A110" s="8" t="s">
        <v>339</v>
      </c>
      <c r="B110" s="9" t="s">
        <v>331</v>
      </c>
      <c r="C110" s="9" t="s">
        <v>597</v>
      </c>
      <c r="D110" s="9">
        <v>16</v>
      </c>
      <c r="E110" s="9" t="s">
        <v>268</v>
      </c>
      <c r="F110" s="9" t="s">
        <v>268</v>
      </c>
      <c r="G110" s="10">
        <v>0.45555555555555555</v>
      </c>
      <c r="H110" s="9" t="s">
        <v>393</v>
      </c>
      <c r="I110" s="9">
        <v>7.27</v>
      </c>
      <c r="J110" s="9" t="s">
        <v>62</v>
      </c>
      <c r="K110" s="9">
        <v>386</v>
      </c>
      <c r="L110" s="9">
        <v>127</v>
      </c>
      <c r="M110" s="9" t="s">
        <v>22</v>
      </c>
      <c r="N110" s="9">
        <v>14</v>
      </c>
      <c r="O110" s="9" t="s">
        <v>23</v>
      </c>
      <c r="P110" s="9" t="s">
        <v>24</v>
      </c>
      <c r="Q110" s="9" t="str">
        <f t="shared" si="14"/>
        <v>Distance</v>
      </c>
      <c r="R110" s="9">
        <f t="shared" si="15"/>
        <v>69</v>
      </c>
      <c r="S110" s="9">
        <f t="shared" si="16"/>
        <v>0</v>
      </c>
      <c r="T110" s="9">
        <f t="shared" si="17"/>
        <v>2.9999999999999893</v>
      </c>
      <c r="U110" s="9">
        <f t="shared" si="27"/>
        <v>50.000000000000064</v>
      </c>
      <c r="V110" s="9">
        <f t="shared" si="18"/>
        <v>10</v>
      </c>
      <c r="W110" s="9" t="str">
        <f t="shared" si="19"/>
        <v>Late Morning</v>
      </c>
      <c r="X110" s="9" t="str">
        <f t="shared" si="20"/>
        <v>Off-Peak</v>
      </c>
      <c r="Y110" s="23">
        <f t="shared" si="21"/>
        <v>0.14539999999999981</v>
      </c>
      <c r="Z110" s="23">
        <f t="shared" si="22"/>
        <v>17.469050894085282</v>
      </c>
      <c r="AA110" s="23">
        <f t="shared" si="23"/>
        <v>0.32901554404145078</v>
      </c>
      <c r="AB110" s="9" t="str">
        <f t="shared" si="24"/>
        <v>Late</v>
      </c>
      <c r="AC110" s="9" t="str">
        <f t="shared" si="25"/>
        <v>No Delay</v>
      </c>
      <c r="AD110" s="64" t="str">
        <f t="shared" si="26"/>
        <v>Long (5+km)</v>
      </c>
    </row>
    <row r="111" spans="1:30" x14ac:dyDescent="0.3">
      <c r="A111" s="8" t="s">
        <v>341</v>
      </c>
      <c r="B111" s="9" t="s">
        <v>750</v>
      </c>
      <c r="C111" s="9" t="s">
        <v>597</v>
      </c>
      <c r="D111" s="9">
        <v>17</v>
      </c>
      <c r="E111" s="9" t="s">
        <v>751</v>
      </c>
      <c r="F111" s="9" t="s">
        <v>721</v>
      </c>
      <c r="G111" s="10">
        <v>0.43680555555555556</v>
      </c>
      <c r="H111" s="9" t="s">
        <v>347</v>
      </c>
      <c r="I111" s="9">
        <v>5.45</v>
      </c>
      <c r="J111" s="9" t="s">
        <v>76</v>
      </c>
      <c r="K111" s="9">
        <v>249</v>
      </c>
      <c r="L111" s="9">
        <v>106</v>
      </c>
      <c r="M111" s="9" t="s">
        <v>22</v>
      </c>
      <c r="N111" s="9">
        <v>14</v>
      </c>
      <c r="O111" s="9" t="s">
        <v>23</v>
      </c>
      <c r="P111" s="9" t="s">
        <v>24</v>
      </c>
      <c r="Q111" s="9" t="str">
        <f t="shared" si="14"/>
        <v>None</v>
      </c>
      <c r="R111" s="9">
        <f t="shared" si="15"/>
        <v>61.000000000000021</v>
      </c>
      <c r="S111" s="9">
        <f t="shared" si="16"/>
        <v>3.0000000000000693</v>
      </c>
      <c r="T111" s="9">
        <f t="shared" si="17"/>
        <v>4.9999999999999822</v>
      </c>
      <c r="U111" s="9">
        <f t="shared" si="27"/>
        <v>36.000000000000028</v>
      </c>
      <c r="V111" s="9">
        <f t="shared" si="18"/>
        <v>10</v>
      </c>
      <c r="W111" s="9" t="str">
        <f t="shared" si="19"/>
        <v>Late Morning</v>
      </c>
      <c r="X111" s="9" t="str">
        <f t="shared" si="20"/>
        <v>Off-Peak</v>
      </c>
      <c r="Y111" s="23">
        <f t="shared" si="21"/>
        <v>0.15138888888888877</v>
      </c>
      <c r="Z111" s="23">
        <f t="shared" si="22"/>
        <v>19.449541284403669</v>
      </c>
      <c r="AA111" s="23">
        <f t="shared" si="23"/>
        <v>0.42570281124497994</v>
      </c>
      <c r="AB111" s="9" t="str">
        <f t="shared" si="24"/>
        <v>Late</v>
      </c>
      <c r="AC111" s="9" t="str">
        <f t="shared" si="25"/>
        <v>No Delay</v>
      </c>
      <c r="AD111" s="64" t="str">
        <f t="shared" si="26"/>
        <v>Long (5+km)</v>
      </c>
    </row>
    <row r="112" spans="1:30" x14ac:dyDescent="0.3">
      <c r="A112" s="8" t="s">
        <v>343</v>
      </c>
      <c r="B112" s="9" t="s">
        <v>705</v>
      </c>
      <c r="C112" s="9" t="s">
        <v>597</v>
      </c>
      <c r="D112" s="9">
        <v>12</v>
      </c>
      <c r="E112" s="9" t="s">
        <v>105</v>
      </c>
      <c r="F112" s="9" t="s">
        <v>193</v>
      </c>
      <c r="G112" s="10">
        <v>0.50902777777777775</v>
      </c>
      <c r="H112" s="9" t="s">
        <v>610</v>
      </c>
      <c r="I112" s="9">
        <v>1.1299999999999999</v>
      </c>
      <c r="J112" s="9" t="s">
        <v>65</v>
      </c>
      <c r="K112" s="9">
        <v>244</v>
      </c>
      <c r="L112" s="9">
        <v>62</v>
      </c>
      <c r="M112" s="9" t="s">
        <v>22</v>
      </c>
      <c r="N112" s="9">
        <v>15</v>
      </c>
      <c r="O112" s="9" t="s">
        <v>23</v>
      </c>
      <c r="P112" s="9" t="s">
        <v>24</v>
      </c>
      <c r="Q112" s="9" t="str">
        <f t="shared" si="14"/>
        <v>None</v>
      </c>
      <c r="R112" s="9">
        <f t="shared" si="15"/>
        <v>31.000000000000128</v>
      </c>
      <c r="S112" s="9">
        <f t="shared" si="16"/>
        <v>0.99999999999999645</v>
      </c>
      <c r="T112" s="9">
        <f t="shared" si="17"/>
        <v>0.99999999999999645</v>
      </c>
      <c r="U112" s="9">
        <f t="shared" si="27"/>
        <v>17.000000000000099</v>
      </c>
      <c r="V112" s="9">
        <f t="shared" si="18"/>
        <v>11</v>
      </c>
      <c r="W112" s="9" t="str">
        <f t="shared" si="19"/>
        <v>Late Morning</v>
      </c>
      <c r="X112" s="9" t="str">
        <f t="shared" si="20"/>
        <v>Off-Peak</v>
      </c>
      <c r="Y112" s="23">
        <f t="shared" si="21"/>
        <v>6.6470588235293726E-2</v>
      </c>
      <c r="Z112" s="23">
        <f t="shared" si="22"/>
        <v>54.867256637168147</v>
      </c>
      <c r="AA112" s="23">
        <f t="shared" si="23"/>
        <v>0.25409836065573771</v>
      </c>
      <c r="AB112" s="9" t="str">
        <f t="shared" si="24"/>
        <v>On-Time</v>
      </c>
      <c r="AC112" s="9" t="str">
        <f t="shared" si="25"/>
        <v>No Delay</v>
      </c>
      <c r="AD112" s="64" t="str">
        <f t="shared" si="26"/>
        <v>Short (0-2km)</v>
      </c>
    </row>
    <row r="113" spans="1:30" x14ac:dyDescent="0.3">
      <c r="A113" s="8" t="s">
        <v>345</v>
      </c>
      <c r="B113" s="9" t="s">
        <v>384</v>
      </c>
      <c r="C113" s="9" t="s">
        <v>597</v>
      </c>
      <c r="D113" s="9">
        <v>16</v>
      </c>
      <c r="E113" s="9" t="s">
        <v>222</v>
      </c>
      <c r="F113" s="9" t="s">
        <v>636</v>
      </c>
      <c r="G113" s="10">
        <v>0.63472222222222219</v>
      </c>
      <c r="H113" s="9" t="s">
        <v>603</v>
      </c>
      <c r="I113" s="9">
        <v>3.01</v>
      </c>
      <c r="J113" s="9" t="s">
        <v>129</v>
      </c>
      <c r="K113" s="9">
        <v>260</v>
      </c>
      <c r="L113" s="9">
        <v>79</v>
      </c>
      <c r="M113" s="9" t="s">
        <v>22</v>
      </c>
      <c r="N113" s="9">
        <v>17</v>
      </c>
      <c r="O113" s="9" t="s">
        <v>55</v>
      </c>
      <c r="P113" s="9" t="s">
        <v>24</v>
      </c>
      <c r="Q113" s="9" t="str">
        <f t="shared" si="14"/>
        <v>None</v>
      </c>
      <c r="R113" s="9">
        <f t="shared" si="15"/>
        <v>45</v>
      </c>
      <c r="S113" s="9">
        <f t="shared" si="16"/>
        <v>2.9999999999999893</v>
      </c>
      <c r="T113" s="9">
        <f t="shared" si="17"/>
        <v>0.99999999999999645</v>
      </c>
      <c r="U113" s="9">
        <f t="shared" si="27"/>
        <v>25.000000000000071</v>
      </c>
      <c r="V113" s="9">
        <f t="shared" si="18"/>
        <v>14</v>
      </c>
      <c r="W113" s="9" t="str">
        <f t="shared" si="19"/>
        <v>Afternoon</v>
      </c>
      <c r="X113" s="9" t="str">
        <f t="shared" si="20"/>
        <v>Off-Peak</v>
      </c>
      <c r="Y113" s="23">
        <f t="shared" si="21"/>
        <v>0.12039999999999965</v>
      </c>
      <c r="Z113" s="23">
        <f t="shared" si="22"/>
        <v>26.245847176079735</v>
      </c>
      <c r="AA113" s="23">
        <f t="shared" si="23"/>
        <v>0.30384615384615382</v>
      </c>
      <c r="AB113" s="9" t="str">
        <f t="shared" si="24"/>
        <v>On-Time</v>
      </c>
      <c r="AC113" s="9" t="str">
        <f t="shared" si="25"/>
        <v>No Delay</v>
      </c>
      <c r="AD113" s="64" t="str">
        <f t="shared" si="26"/>
        <v>Medium (2-5km)</v>
      </c>
    </row>
    <row r="114" spans="1:30" x14ac:dyDescent="0.3">
      <c r="A114" s="8" t="s">
        <v>348</v>
      </c>
      <c r="B114" s="9" t="s">
        <v>715</v>
      </c>
      <c r="C114" s="9" t="s">
        <v>597</v>
      </c>
      <c r="D114" s="9">
        <v>17</v>
      </c>
      <c r="E114" s="9" t="s">
        <v>285</v>
      </c>
      <c r="F114" s="9" t="s">
        <v>285</v>
      </c>
      <c r="G114" s="10">
        <v>0.77777777777777779</v>
      </c>
      <c r="H114" s="9" t="s">
        <v>741</v>
      </c>
      <c r="I114" s="9">
        <v>3.98</v>
      </c>
      <c r="J114" s="9" t="s">
        <v>65</v>
      </c>
      <c r="K114" s="9">
        <v>397</v>
      </c>
      <c r="L114" s="9">
        <v>94</v>
      </c>
      <c r="M114" s="9" t="s">
        <v>22</v>
      </c>
      <c r="N114" s="9">
        <v>15</v>
      </c>
      <c r="O114" s="9" t="s">
        <v>23</v>
      </c>
      <c r="P114" s="9" t="s">
        <v>24</v>
      </c>
      <c r="Q114" s="9" t="str">
        <f t="shared" si="14"/>
        <v>None</v>
      </c>
      <c r="R114" s="9">
        <f t="shared" si="15"/>
        <v>52.999999999999972</v>
      </c>
      <c r="S114" s="9">
        <f t="shared" si="16"/>
        <v>0</v>
      </c>
      <c r="T114" s="9">
        <f t="shared" si="17"/>
        <v>5.9999999999999787</v>
      </c>
      <c r="U114" s="9">
        <f t="shared" si="27"/>
        <v>30.000000000000053</v>
      </c>
      <c r="V114" s="9">
        <f t="shared" si="18"/>
        <v>18</v>
      </c>
      <c r="W114" s="9" t="str">
        <f t="shared" si="19"/>
        <v>Peak Night</v>
      </c>
      <c r="X114" s="9" t="str">
        <f t="shared" si="20"/>
        <v>Peak</v>
      </c>
      <c r="Y114" s="23">
        <f t="shared" si="21"/>
        <v>0.13266666666666643</v>
      </c>
      <c r="Z114" s="23">
        <f t="shared" si="22"/>
        <v>23.618090452261306</v>
      </c>
      <c r="AA114" s="23">
        <f t="shared" si="23"/>
        <v>0.23677581863979849</v>
      </c>
      <c r="AB114" s="9" t="str">
        <f t="shared" si="24"/>
        <v>Late</v>
      </c>
      <c r="AC114" s="9" t="str">
        <f t="shared" si="25"/>
        <v>No Delay</v>
      </c>
      <c r="AD114" s="64" t="str">
        <f t="shared" si="26"/>
        <v>Medium (2-5km)</v>
      </c>
    </row>
    <row r="115" spans="1:30" x14ac:dyDescent="0.3">
      <c r="A115" s="8" t="s">
        <v>351</v>
      </c>
      <c r="B115" s="9" t="s">
        <v>495</v>
      </c>
      <c r="C115" s="9" t="s">
        <v>597</v>
      </c>
      <c r="D115" s="9">
        <v>11</v>
      </c>
      <c r="E115" s="9" t="s">
        <v>226</v>
      </c>
      <c r="F115" s="9" t="s">
        <v>226</v>
      </c>
      <c r="G115" s="10">
        <v>0.58958333333333335</v>
      </c>
      <c r="H115" s="9" t="s">
        <v>121</v>
      </c>
      <c r="I115" s="9">
        <v>4.3600000000000003</v>
      </c>
      <c r="J115" s="9" t="s">
        <v>33</v>
      </c>
      <c r="K115" s="9">
        <v>335</v>
      </c>
      <c r="L115" s="9">
        <v>94</v>
      </c>
      <c r="M115" s="9" t="s">
        <v>22</v>
      </c>
      <c r="N115" s="9">
        <v>14</v>
      </c>
      <c r="O115" s="9" t="s">
        <v>23</v>
      </c>
      <c r="P115" s="9" t="s">
        <v>24</v>
      </c>
      <c r="Q115" s="9" t="str">
        <f t="shared" si="14"/>
        <v>None</v>
      </c>
      <c r="R115" s="9">
        <f t="shared" si="15"/>
        <v>45</v>
      </c>
      <c r="S115" s="9">
        <f t="shared" si="16"/>
        <v>0</v>
      </c>
      <c r="T115" s="9">
        <f t="shared" si="17"/>
        <v>3.9999999999999858</v>
      </c>
      <c r="U115" s="9">
        <f t="shared" si="27"/>
        <v>30.000000000000053</v>
      </c>
      <c r="V115" s="9">
        <f t="shared" si="18"/>
        <v>13</v>
      </c>
      <c r="W115" s="9" t="str">
        <f t="shared" si="19"/>
        <v>Afternoon</v>
      </c>
      <c r="X115" s="9" t="str">
        <f t="shared" si="20"/>
        <v>Peak</v>
      </c>
      <c r="Y115" s="23">
        <f t="shared" si="21"/>
        <v>0.14533333333333309</v>
      </c>
      <c r="Z115" s="23">
        <f t="shared" si="22"/>
        <v>21.559633027522935</v>
      </c>
      <c r="AA115" s="23">
        <f t="shared" si="23"/>
        <v>0.28059701492537314</v>
      </c>
      <c r="AB115" s="9" t="str">
        <f t="shared" si="24"/>
        <v>On-Time</v>
      </c>
      <c r="AC115" s="9" t="str">
        <f t="shared" si="25"/>
        <v>No Delay</v>
      </c>
      <c r="AD115" s="64" t="str">
        <f t="shared" si="26"/>
        <v>Medium (2-5km)</v>
      </c>
    </row>
    <row r="116" spans="1:30" x14ac:dyDescent="0.3">
      <c r="A116" s="8" t="s">
        <v>353</v>
      </c>
      <c r="B116" s="9" t="s">
        <v>678</v>
      </c>
      <c r="C116" s="9" t="s">
        <v>594</v>
      </c>
      <c r="D116" s="9">
        <v>26</v>
      </c>
      <c r="E116" s="9" t="s">
        <v>349</v>
      </c>
      <c r="F116" s="9" t="s">
        <v>690</v>
      </c>
      <c r="G116" s="10">
        <v>0.44305555555555554</v>
      </c>
      <c r="H116" s="9" t="s">
        <v>116</v>
      </c>
      <c r="I116" s="9">
        <v>4.74</v>
      </c>
      <c r="J116" s="9" t="s">
        <v>49</v>
      </c>
      <c r="K116" s="9">
        <v>398</v>
      </c>
      <c r="L116" s="9">
        <v>98</v>
      </c>
      <c r="M116" s="9" t="s">
        <v>77</v>
      </c>
      <c r="N116" s="9">
        <v>16</v>
      </c>
      <c r="O116" s="9" t="s">
        <v>23</v>
      </c>
      <c r="P116" s="9" t="s">
        <v>78</v>
      </c>
      <c r="Q116" s="9" t="str">
        <f t="shared" si="14"/>
        <v>Restaurant Delay</v>
      </c>
      <c r="R116" s="9">
        <f t="shared" si="15"/>
        <v>68.999999999999915</v>
      </c>
      <c r="S116" s="9">
        <f t="shared" si="16"/>
        <v>7.0000000000000551</v>
      </c>
      <c r="T116" s="9">
        <f t="shared" si="17"/>
        <v>1.9999999999999929</v>
      </c>
      <c r="U116" s="9">
        <f t="shared" si="27"/>
        <v>33.999999999999957</v>
      </c>
      <c r="V116" s="9">
        <f t="shared" si="18"/>
        <v>10</v>
      </c>
      <c r="W116" s="9" t="str">
        <f t="shared" si="19"/>
        <v>Late Morning</v>
      </c>
      <c r="X116" s="9" t="str">
        <f t="shared" si="20"/>
        <v>Off-Peak</v>
      </c>
      <c r="Y116" s="23">
        <f t="shared" si="21"/>
        <v>0.13941176470588254</v>
      </c>
      <c r="Z116" s="23">
        <f t="shared" si="22"/>
        <v>20.675105485232066</v>
      </c>
      <c r="AA116" s="23">
        <f t="shared" si="23"/>
        <v>0.24623115577889448</v>
      </c>
      <c r="AB116" s="9" t="str">
        <f t="shared" si="24"/>
        <v>Late</v>
      </c>
      <c r="AC116" s="9" t="str">
        <f t="shared" si="25"/>
        <v>Restaurant Delay</v>
      </c>
      <c r="AD116" s="64" t="str">
        <f t="shared" si="26"/>
        <v>Medium (2-5km)</v>
      </c>
    </row>
    <row r="117" spans="1:30" x14ac:dyDescent="0.3">
      <c r="A117" s="8" t="s">
        <v>356</v>
      </c>
      <c r="B117" s="9" t="s">
        <v>471</v>
      </c>
      <c r="C117" s="9" t="s">
        <v>597</v>
      </c>
      <c r="D117" s="9">
        <v>20</v>
      </c>
      <c r="E117" s="9" t="s">
        <v>493</v>
      </c>
      <c r="F117" s="9" t="s">
        <v>616</v>
      </c>
      <c r="G117" s="10">
        <v>0.8354166666666667</v>
      </c>
      <c r="H117" s="9" t="s">
        <v>623</v>
      </c>
      <c r="I117" s="9">
        <v>5.79</v>
      </c>
      <c r="J117" s="9" t="s">
        <v>99</v>
      </c>
      <c r="K117" s="9">
        <v>353</v>
      </c>
      <c r="L117" s="9">
        <v>116</v>
      </c>
      <c r="M117" s="9" t="s">
        <v>22</v>
      </c>
      <c r="N117" s="9">
        <v>8</v>
      </c>
      <c r="O117" s="9" t="s">
        <v>34</v>
      </c>
      <c r="P117" s="9" t="s">
        <v>24</v>
      </c>
      <c r="Q117" s="9" t="str">
        <f t="shared" si="14"/>
        <v>Traffic</v>
      </c>
      <c r="R117" s="9">
        <f t="shared" si="15"/>
        <v>75.000000000000057</v>
      </c>
      <c r="S117" s="9">
        <f t="shared" si="16"/>
        <v>6.0000000000001386</v>
      </c>
      <c r="T117" s="9">
        <f t="shared" si="17"/>
        <v>10.999999999999961</v>
      </c>
      <c r="U117" s="9">
        <f t="shared" si="27"/>
        <v>38.000000000000028</v>
      </c>
      <c r="V117" s="9">
        <f t="shared" si="18"/>
        <v>19</v>
      </c>
      <c r="W117" s="9" t="str">
        <f t="shared" si="19"/>
        <v>Peak Night</v>
      </c>
      <c r="X117" s="9" t="str">
        <f t="shared" si="20"/>
        <v>Peak</v>
      </c>
      <c r="Y117" s="23">
        <f t="shared" si="21"/>
        <v>0.15236842105263146</v>
      </c>
      <c r="Z117" s="23">
        <f t="shared" si="22"/>
        <v>20.034542314335059</v>
      </c>
      <c r="AA117" s="23">
        <f t="shared" si="23"/>
        <v>0.32861189801699719</v>
      </c>
      <c r="AB117" s="9" t="str">
        <f t="shared" si="24"/>
        <v>Late</v>
      </c>
      <c r="AC117" s="9" t="str">
        <f t="shared" si="25"/>
        <v>No Delay</v>
      </c>
      <c r="AD117" s="64" t="str">
        <f t="shared" si="26"/>
        <v>Long (5+km)</v>
      </c>
    </row>
    <row r="118" spans="1:30" x14ac:dyDescent="0.3">
      <c r="A118" s="8" t="s">
        <v>357</v>
      </c>
      <c r="B118" s="9" t="s">
        <v>752</v>
      </c>
      <c r="C118" s="9" t="s">
        <v>597</v>
      </c>
      <c r="D118" s="9">
        <v>11</v>
      </c>
      <c r="E118" s="9" t="s">
        <v>225</v>
      </c>
      <c r="F118" s="9" t="s">
        <v>261</v>
      </c>
      <c r="G118" s="10">
        <v>0.58124999999999993</v>
      </c>
      <c r="H118" s="9" t="s">
        <v>120</v>
      </c>
      <c r="I118" s="9">
        <v>1.87</v>
      </c>
      <c r="J118" s="9" t="s">
        <v>122</v>
      </c>
      <c r="K118" s="9">
        <v>280</v>
      </c>
      <c r="L118" s="9">
        <v>71</v>
      </c>
      <c r="M118" s="9" t="s">
        <v>22</v>
      </c>
      <c r="N118" s="9">
        <v>18</v>
      </c>
      <c r="O118" s="9" t="s">
        <v>23</v>
      </c>
      <c r="P118" s="9" t="s">
        <v>24</v>
      </c>
      <c r="Q118" s="9" t="str">
        <f t="shared" si="14"/>
        <v>None</v>
      </c>
      <c r="R118" s="9">
        <f t="shared" si="15"/>
        <v>38.000000000000028</v>
      </c>
      <c r="S118" s="9">
        <f t="shared" si="16"/>
        <v>2.9999999999998295</v>
      </c>
      <c r="T118" s="9">
        <f t="shared" si="17"/>
        <v>3.9999999999999858</v>
      </c>
      <c r="U118" s="9">
        <f t="shared" si="27"/>
        <v>20.000000000000089</v>
      </c>
      <c r="V118" s="9">
        <f t="shared" si="18"/>
        <v>13</v>
      </c>
      <c r="W118" s="9" t="str">
        <f t="shared" si="19"/>
        <v>Afternoon</v>
      </c>
      <c r="X118" s="9" t="str">
        <f t="shared" si="20"/>
        <v>Peak</v>
      </c>
      <c r="Y118" s="23">
        <f t="shared" si="21"/>
        <v>9.3499999999999583E-2</v>
      </c>
      <c r="Z118" s="23">
        <f t="shared" si="22"/>
        <v>37.967914438502675</v>
      </c>
      <c r="AA118" s="23">
        <f t="shared" si="23"/>
        <v>0.25357142857142856</v>
      </c>
      <c r="AB118" s="9" t="str">
        <f t="shared" si="24"/>
        <v>On-Time</v>
      </c>
      <c r="AC118" s="9" t="str">
        <f t="shared" si="25"/>
        <v>No Delay</v>
      </c>
      <c r="AD118" s="64" t="str">
        <f t="shared" si="26"/>
        <v>Short (0-2km)</v>
      </c>
    </row>
    <row r="119" spans="1:30" x14ac:dyDescent="0.3">
      <c r="A119" s="8" t="s">
        <v>360</v>
      </c>
      <c r="B119" s="9" t="s">
        <v>608</v>
      </c>
      <c r="C119" s="9" t="s">
        <v>594</v>
      </c>
      <c r="D119" s="9">
        <v>40</v>
      </c>
      <c r="E119" s="9" t="s">
        <v>716</v>
      </c>
      <c r="F119" s="9" t="s">
        <v>747</v>
      </c>
      <c r="G119" s="10">
        <v>0.73194444444444451</v>
      </c>
      <c r="H119" s="9" t="s">
        <v>753</v>
      </c>
      <c r="I119" s="9">
        <v>3.7</v>
      </c>
      <c r="J119" s="9" t="s">
        <v>54</v>
      </c>
      <c r="K119" s="9">
        <v>283</v>
      </c>
      <c r="L119" s="9">
        <v>83</v>
      </c>
      <c r="M119" s="9" t="s">
        <v>22</v>
      </c>
      <c r="N119" s="9">
        <v>15</v>
      </c>
      <c r="O119" s="9" t="s">
        <v>55</v>
      </c>
      <c r="P119" s="9" t="s">
        <v>24</v>
      </c>
      <c r="Q119" s="9" t="str">
        <f t="shared" si="14"/>
        <v>Restaurant Delay</v>
      </c>
      <c r="R119" s="9">
        <f t="shared" si="15"/>
        <v>75.999999999999886</v>
      </c>
      <c r="S119" s="9">
        <f t="shared" si="16"/>
        <v>10.000000000000124</v>
      </c>
      <c r="T119" s="9">
        <f t="shared" si="17"/>
        <v>1.9999999999999929</v>
      </c>
      <c r="U119" s="9">
        <f t="shared" si="27"/>
        <v>23.999999999999755</v>
      </c>
      <c r="V119" s="9">
        <f t="shared" si="18"/>
        <v>16</v>
      </c>
      <c r="W119" s="9" t="str">
        <f t="shared" si="19"/>
        <v>Evening</v>
      </c>
      <c r="X119" s="9" t="str">
        <f t="shared" si="20"/>
        <v>Off-Peak</v>
      </c>
      <c r="Y119" s="23">
        <f t="shared" si="21"/>
        <v>0.15416666666666826</v>
      </c>
      <c r="Z119" s="23">
        <f t="shared" si="22"/>
        <v>22.432432432432432</v>
      </c>
      <c r="AA119" s="23">
        <f t="shared" si="23"/>
        <v>0.29328621908127206</v>
      </c>
      <c r="AB119" s="9" t="str">
        <f t="shared" si="24"/>
        <v>Late</v>
      </c>
      <c r="AC119" s="9" t="str">
        <f t="shared" si="25"/>
        <v>No Delay</v>
      </c>
      <c r="AD119" s="64" t="str">
        <f t="shared" si="26"/>
        <v>Medium (2-5km)</v>
      </c>
    </row>
    <row r="120" spans="1:30" x14ac:dyDescent="0.3">
      <c r="A120" s="8" t="s">
        <v>362</v>
      </c>
      <c r="B120" s="9" t="s">
        <v>712</v>
      </c>
      <c r="C120" s="9" t="s">
        <v>597</v>
      </c>
      <c r="D120" s="9">
        <v>18</v>
      </c>
      <c r="E120" s="9" t="s">
        <v>509</v>
      </c>
      <c r="F120" s="9" t="s">
        <v>703</v>
      </c>
      <c r="G120" s="10">
        <v>0.72986111111111118</v>
      </c>
      <c r="H120" s="9" t="s">
        <v>576</v>
      </c>
      <c r="I120" s="9">
        <v>5.44</v>
      </c>
      <c r="J120" s="9" t="s">
        <v>129</v>
      </c>
      <c r="K120" s="9">
        <v>309</v>
      </c>
      <c r="L120" s="9">
        <v>107</v>
      </c>
      <c r="M120" s="9" t="s">
        <v>22</v>
      </c>
      <c r="N120" s="9">
        <v>14</v>
      </c>
      <c r="O120" s="9" t="s">
        <v>23</v>
      </c>
      <c r="P120" s="9" t="s">
        <v>24</v>
      </c>
      <c r="Q120" s="9" t="str">
        <f t="shared" si="14"/>
        <v>None</v>
      </c>
      <c r="R120" s="9">
        <f t="shared" si="15"/>
        <v>60.999999999999943</v>
      </c>
      <c r="S120" s="9">
        <f t="shared" si="16"/>
        <v>1.0000000000001563</v>
      </c>
      <c r="T120" s="9">
        <f t="shared" si="17"/>
        <v>5.9999999999999787</v>
      </c>
      <c r="U120" s="9">
        <f t="shared" si="27"/>
        <v>35.999999999999872</v>
      </c>
      <c r="V120" s="9">
        <f t="shared" si="18"/>
        <v>17</v>
      </c>
      <c r="W120" s="9" t="str">
        <f t="shared" si="19"/>
        <v>Evening</v>
      </c>
      <c r="X120" s="9" t="str">
        <f t="shared" si="20"/>
        <v>Peak</v>
      </c>
      <c r="Y120" s="23">
        <f t="shared" si="21"/>
        <v>0.15111111111111167</v>
      </c>
      <c r="Z120" s="23">
        <f t="shared" si="22"/>
        <v>19.669117647058822</v>
      </c>
      <c r="AA120" s="23">
        <f t="shared" si="23"/>
        <v>0.34627831715210355</v>
      </c>
      <c r="AB120" s="9" t="str">
        <f t="shared" si="24"/>
        <v>Late</v>
      </c>
      <c r="AC120" s="9" t="str">
        <f t="shared" si="25"/>
        <v>No Delay</v>
      </c>
      <c r="AD120" s="64" t="str">
        <f t="shared" si="26"/>
        <v>Long (5+km)</v>
      </c>
    </row>
    <row r="121" spans="1:30" x14ac:dyDescent="0.3">
      <c r="A121" s="8" t="s">
        <v>364</v>
      </c>
      <c r="B121" s="9" t="s">
        <v>715</v>
      </c>
      <c r="C121" s="9" t="s">
        <v>594</v>
      </c>
      <c r="D121" s="9">
        <v>36</v>
      </c>
      <c r="E121" s="9" t="s">
        <v>146</v>
      </c>
      <c r="F121" s="9" t="s">
        <v>395</v>
      </c>
      <c r="G121" s="10">
        <v>0.79652777777777783</v>
      </c>
      <c r="H121" s="9" t="s">
        <v>559</v>
      </c>
      <c r="I121" s="9">
        <v>1.4</v>
      </c>
      <c r="J121" s="9" t="s">
        <v>49</v>
      </c>
      <c r="K121" s="9">
        <v>344</v>
      </c>
      <c r="L121" s="9">
        <v>66</v>
      </c>
      <c r="M121" s="9" t="s">
        <v>22</v>
      </c>
      <c r="N121" s="9">
        <v>17</v>
      </c>
      <c r="O121" s="9" t="s">
        <v>23</v>
      </c>
      <c r="P121" s="9" t="s">
        <v>24</v>
      </c>
      <c r="Q121" s="9" t="str">
        <f t="shared" si="14"/>
        <v>Restaurant Delay</v>
      </c>
      <c r="R121" s="9">
        <f t="shared" si="15"/>
        <v>66.999999999999758</v>
      </c>
      <c r="S121" s="9">
        <f t="shared" si="16"/>
        <v>10.000000000000124</v>
      </c>
      <c r="T121" s="9">
        <f t="shared" si="17"/>
        <v>3.9999999999999858</v>
      </c>
      <c r="U121" s="9">
        <f t="shared" si="27"/>
        <v>16.99999999999978</v>
      </c>
      <c r="V121" s="9">
        <f t="shared" si="18"/>
        <v>18</v>
      </c>
      <c r="W121" s="9" t="str">
        <f t="shared" si="19"/>
        <v>Peak Night</v>
      </c>
      <c r="X121" s="9" t="str">
        <f t="shared" si="20"/>
        <v>Peak</v>
      </c>
      <c r="Y121" s="23">
        <f t="shared" si="21"/>
        <v>8.2352941176471656E-2</v>
      </c>
      <c r="Z121" s="23">
        <f t="shared" si="22"/>
        <v>47.142857142857146</v>
      </c>
      <c r="AA121" s="23">
        <f t="shared" si="23"/>
        <v>0.19186046511627908</v>
      </c>
      <c r="AB121" s="9" t="str">
        <f t="shared" si="24"/>
        <v>Late</v>
      </c>
      <c r="AC121" s="9" t="str">
        <f t="shared" si="25"/>
        <v>No Delay</v>
      </c>
      <c r="AD121" s="64" t="str">
        <f t="shared" si="26"/>
        <v>Short (0-2km)</v>
      </c>
    </row>
    <row r="122" spans="1:30" x14ac:dyDescent="0.3">
      <c r="A122" s="8" t="s">
        <v>366</v>
      </c>
      <c r="B122" s="9" t="s">
        <v>495</v>
      </c>
      <c r="C122" s="9" t="s">
        <v>597</v>
      </c>
      <c r="D122" s="9">
        <v>14</v>
      </c>
      <c r="E122" s="9" t="s">
        <v>124</v>
      </c>
      <c r="F122" s="9" t="s">
        <v>300</v>
      </c>
      <c r="G122" s="10">
        <v>0.59305555555555556</v>
      </c>
      <c r="H122" s="9" t="s">
        <v>125</v>
      </c>
      <c r="I122" s="9">
        <v>3.88</v>
      </c>
      <c r="J122" s="9" t="s">
        <v>21</v>
      </c>
      <c r="K122" s="9">
        <v>254</v>
      </c>
      <c r="L122" s="9">
        <v>89</v>
      </c>
      <c r="M122" s="9" t="s">
        <v>22</v>
      </c>
      <c r="N122" s="9">
        <v>17</v>
      </c>
      <c r="O122" s="9" t="s">
        <v>23</v>
      </c>
      <c r="P122" s="9" t="s">
        <v>24</v>
      </c>
      <c r="Q122" s="9" t="str">
        <f t="shared" si="14"/>
        <v>None</v>
      </c>
      <c r="R122" s="9">
        <f t="shared" si="15"/>
        <v>46.999999999999993</v>
      </c>
      <c r="S122" s="9">
        <f t="shared" si="16"/>
        <v>0.99999999999999645</v>
      </c>
      <c r="T122" s="9">
        <f t="shared" si="17"/>
        <v>4.9999999999999822</v>
      </c>
      <c r="U122" s="9">
        <f t="shared" si="27"/>
        <v>27.000000000000064</v>
      </c>
      <c r="V122" s="9">
        <f t="shared" si="18"/>
        <v>13</v>
      </c>
      <c r="W122" s="9" t="str">
        <f t="shared" si="19"/>
        <v>Afternoon</v>
      </c>
      <c r="X122" s="9" t="str">
        <f t="shared" si="20"/>
        <v>Peak</v>
      </c>
      <c r="Y122" s="23">
        <f t="shared" si="21"/>
        <v>0.14370370370370336</v>
      </c>
      <c r="Z122" s="23">
        <f t="shared" si="22"/>
        <v>22.938144329896907</v>
      </c>
      <c r="AA122" s="23">
        <f t="shared" si="23"/>
        <v>0.35039370078740156</v>
      </c>
      <c r="AB122" s="9" t="str">
        <f t="shared" si="24"/>
        <v>Late</v>
      </c>
      <c r="AC122" s="9" t="str">
        <f t="shared" si="25"/>
        <v>No Delay</v>
      </c>
      <c r="AD122" s="64" t="str">
        <f t="shared" si="26"/>
        <v>Medium (2-5km)</v>
      </c>
    </row>
    <row r="123" spans="1:30" x14ac:dyDescent="0.3">
      <c r="A123" s="8" t="s">
        <v>368</v>
      </c>
      <c r="B123" s="9" t="s">
        <v>165</v>
      </c>
      <c r="C123" s="9" t="s">
        <v>597</v>
      </c>
      <c r="D123" s="9">
        <v>19</v>
      </c>
      <c r="E123" s="9" t="s">
        <v>479</v>
      </c>
      <c r="F123" s="9" t="s">
        <v>315</v>
      </c>
      <c r="G123" s="10">
        <v>0.47500000000000003</v>
      </c>
      <c r="H123" s="9" t="s">
        <v>105</v>
      </c>
      <c r="I123" s="9">
        <v>7.62</v>
      </c>
      <c r="J123" s="9" t="s">
        <v>211</v>
      </c>
      <c r="K123" s="9">
        <v>328</v>
      </c>
      <c r="L123" s="9">
        <v>127</v>
      </c>
      <c r="M123" s="9" t="s">
        <v>22</v>
      </c>
      <c r="N123" s="9">
        <v>16</v>
      </c>
      <c r="O123" s="9" t="s">
        <v>23</v>
      </c>
      <c r="P123" s="9" t="s">
        <v>24</v>
      </c>
      <c r="Q123" s="9" t="str">
        <f t="shared" si="14"/>
        <v>Distance</v>
      </c>
      <c r="R123" s="9">
        <f t="shared" si="15"/>
        <v>71.999999999999986</v>
      </c>
      <c r="S123" s="9">
        <f t="shared" si="16"/>
        <v>1.9999999999999929</v>
      </c>
      <c r="T123" s="9">
        <f t="shared" si="17"/>
        <v>3.9999999999999858</v>
      </c>
      <c r="U123" s="9">
        <f t="shared" si="27"/>
        <v>46.999999999999915</v>
      </c>
      <c r="V123" s="9">
        <f t="shared" si="18"/>
        <v>10</v>
      </c>
      <c r="W123" s="9" t="str">
        <f t="shared" si="19"/>
        <v>Late Morning</v>
      </c>
      <c r="X123" s="9" t="str">
        <f t="shared" si="20"/>
        <v>Off-Peak</v>
      </c>
      <c r="Y123" s="23">
        <f t="shared" si="21"/>
        <v>0.16212765957446837</v>
      </c>
      <c r="Z123" s="23">
        <f t="shared" si="22"/>
        <v>16.666666666666668</v>
      </c>
      <c r="AA123" s="23">
        <f t="shared" si="23"/>
        <v>0.38719512195121952</v>
      </c>
      <c r="AB123" s="9" t="str">
        <f t="shared" si="24"/>
        <v>Late</v>
      </c>
      <c r="AC123" s="9" t="str">
        <f t="shared" si="25"/>
        <v>No Delay</v>
      </c>
      <c r="AD123" s="64" t="str">
        <f t="shared" si="26"/>
        <v>Long (5+km)</v>
      </c>
    </row>
    <row r="124" spans="1:30" x14ac:dyDescent="0.3">
      <c r="A124" s="8" t="s">
        <v>370</v>
      </c>
      <c r="B124" s="9" t="s">
        <v>241</v>
      </c>
      <c r="C124" s="9" t="s">
        <v>597</v>
      </c>
      <c r="D124" s="9">
        <v>17</v>
      </c>
      <c r="E124" s="9" t="s">
        <v>220</v>
      </c>
      <c r="F124" s="9" t="s">
        <v>322</v>
      </c>
      <c r="G124" s="10">
        <v>0.62361111111111112</v>
      </c>
      <c r="H124" s="9" t="s">
        <v>154</v>
      </c>
      <c r="I124" s="9">
        <v>4.29</v>
      </c>
      <c r="J124" s="9" t="s">
        <v>33</v>
      </c>
      <c r="K124" s="9">
        <v>344</v>
      </c>
      <c r="L124" s="9">
        <v>91</v>
      </c>
      <c r="M124" s="9" t="s">
        <v>22</v>
      </c>
      <c r="N124" s="9">
        <v>17</v>
      </c>
      <c r="O124" s="9" t="s">
        <v>55</v>
      </c>
      <c r="P124" s="9" t="s">
        <v>24</v>
      </c>
      <c r="Q124" s="9" t="str">
        <f t="shared" si="14"/>
        <v>None</v>
      </c>
      <c r="R124" s="9">
        <f t="shared" si="15"/>
        <v>50.999999999999979</v>
      </c>
      <c r="S124" s="9">
        <f t="shared" si="16"/>
        <v>1.9999999999999929</v>
      </c>
      <c r="T124" s="9">
        <f t="shared" si="17"/>
        <v>5.9999999999999787</v>
      </c>
      <c r="U124" s="9">
        <f t="shared" si="27"/>
        <v>26.000000000000068</v>
      </c>
      <c r="V124" s="9">
        <f t="shared" si="18"/>
        <v>14</v>
      </c>
      <c r="W124" s="9" t="str">
        <f t="shared" si="19"/>
        <v>Afternoon</v>
      </c>
      <c r="X124" s="9" t="str">
        <f t="shared" si="20"/>
        <v>Off-Peak</v>
      </c>
      <c r="Y124" s="23">
        <f t="shared" si="21"/>
        <v>0.16499999999999956</v>
      </c>
      <c r="Z124" s="23">
        <f t="shared" si="22"/>
        <v>21.212121212121211</v>
      </c>
      <c r="AA124" s="23">
        <f t="shared" si="23"/>
        <v>0.26453488372093026</v>
      </c>
      <c r="AB124" s="9" t="str">
        <f t="shared" si="24"/>
        <v>Late</v>
      </c>
      <c r="AC124" s="9" t="str">
        <f t="shared" si="25"/>
        <v>No Delay</v>
      </c>
      <c r="AD124" s="64" t="str">
        <f t="shared" si="26"/>
        <v>Medium (2-5km)</v>
      </c>
    </row>
    <row r="125" spans="1:30" x14ac:dyDescent="0.3">
      <c r="A125" s="8" t="s">
        <v>372</v>
      </c>
      <c r="B125" s="9" t="s">
        <v>399</v>
      </c>
      <c r="C125" s="9" t="s">
        <v>597</v>
      </c>
      <c r="D125" s="9">
        <v>18</v>
      </c>
      <c r="E125" s="9" t="s">
        <v>617</v>
      </c>
      <c r="F125" s="9" t="s">
        <v>754</v>
      </c>
      <c r="G125" s="10">
        <v>0.8534722222222223</v>
      </c>
      <c r="H125" s="9" t="s">
        <v>724</v>
      </c>
      <c r="I125" s="9">
        <v>4.53</v>
      </c>
      <c r="J125" s="9" t="s">
        <v>45</v>
      </c>
      <c r="K125" s="9">
        <v>315</v>
      </c>
      <c r="L125" s="9">
        <v>100</v>
      </c>
      <c r="M125" s="9" t="s">
        <v>22</v>
      </c>
      <c r="N125" s="9">
        <v>9</v>
      </c>
      <c r="O125" s="9" t="s">
        <v>34</v>
      </c>
      <c r="P125" s="9" t="s">
        <v>24</v>
      </c>
      <c r="Q125" s="9" t="str">
        <f t="shared" si="14"/>
        <v>Traffic</v>
      </c>
      <c r="R125" s="9">
        <f t="shared" si="15"/>
        <v>66.000000000000085</v>
      </c>
      <c r="S125" s="9">
        <f t="shared" si="16"/>
        <v>9.0000000000001279</v>
      </c>
      <c r="T125" s="9">
        <f t="shared" si="17"/>
        <v>7.9999999999999716</v>
      </c>
      <c r="U125" s="9">
        <f t="shared" si="27"/>
        <v>30.99999999999989</v>
      </c>
      <c r="V125" s="9">
        <f t="shared" si="18"/>
        <v>19</v>
      </c>
      <c r="W125" s="9" t="str">
        <f t="shared" si="19"/>
        <v>Peak Night</v>
      </c>
      <c r="X125" s="9" t="str">
        <f t="shared" si="20"/>
        <v>Peak</v>
      </c>
      <c r="Y125" s="23">
        <f t="shared" si="21"/>
        <v>0.14612903225806503</v>
      </c>
      <c r="Z125" s="23">
        <f t="shared" si="22"/>
        <v>22.075055187637968</v>
      </c>
      <c r="AA125" s="23">
        <f t="shared" si="23"/>
        <v>0.31746031746031744</v>
      </c>
      <c r="AB125" s="9" t="str">
        <f t="shared" si="24"/>
        <v>Late</v>
      </c>
      <c r="AC125" s="9" t="str">
        <f t="shared" si="25"/>
        <v>No Delay</v>
      </c>
      <c r="AD125" s="64" t="str">
        <f t="shared" si="26"/>
        <v>Medium (2-5km)</v>
      </c>
    </row>
    <row r="126" spans="1:30" x14ac:dyDescent="0.3">
      <c r="A126" s="8" t="s">
        <v>373</v>
      </c>
      <c r="B126" s="9" t="s">
        <v>602</v>
      </c>
      <c r="C126" s="9" t="s">
        <v>597</v>
      </c>
      <c r="D126" s="9">
        <v>17</v>
      </c>
      <c r="E126" s="9" t="s">
        <v>603</v>
      </c>
      <c r="F126" s="9" t="s">
        <v>184</v>
      </c>
      <c r="G126" s="10">
        <v>0.65416666666666667</v>
      </c>
      <c r="H126" s="9" t="s">
        <v>185</v>
      </c>
      <c r="I126" s="9">
        <v>1.9</v>
      </c>
      <c r="J126" s="9" t="s">
        <v>62</v>
      </c>
      <c r="K126" s="9">
        <v>207</v>
      </c>
      <c r="L126" s="9">
        <v>64</v>
      </c>
      <c r="M126" s="9" t="s">
        <v>22</v>
      </c>
      <c r="N126" s="9">
        <v>17</v>
      </c>
      <c r="O126" s="9" t="s">
        <v>55</v>
      </c>
      <c r="P126" s="9" t="s">
        <v>24</v>
      </c>
      <c r="Q126" s="9" t="str">
        <f t="shared" si="14"/>
        <v>None</v>
      </c>
      <c r="R126" s="9">
        <f t="shared" si="15"/>
        <v>33.999999999999879</v>
      </c>
      <c r="S126" s="9">
        <f t="shared" si="16"/>
        <v>0.99999999999999645</v>
      </c>
      <c r="T126" s="9">
        <f t="shared" si="17"/>
        <v>1.9999999999999929</v>
      </c>
      <c r="U126" s="9">
        <f t="shared" si="27"/>
        <v>13.99999999999995</v>
      </c>
      <c r="V126" s="9">
        <f t="shared" si="18"/>
        <v>15</v>
      </c>
      <c r="W126" s="9" t="str">
        <f t="shared" si="19"/>
        <v>Evening</v>
      </c>
      <c r="X126" s="9" t="str">
        <f t="shared" si="20"/>
        <v>Off-Peak</v>
      </c>
      <c r="Y126" s="23">
        <f t="shared" si="21"/>
        <v>0.1357142857142862</v>
      </c>
      <c r="Z126" s="23">
        <f t="shared" si="22"/>
        <v>33.684210526315788</v>
      </c>
      <c r="AA126" s="23">
        <f t="shared" si="23"/>
        <v>0.30917874396135264</v>
      </c>
      <c r="AB126" s="9" t="str">
        <f t="shared" si="24"/>
        <v>On-Time</v>
      </c>
      <c r="AC126" s="9" t="str">
        <f t="shared" si="25"/>
        <v>No Delay</v>
      </c>
      <c r="AD126" s="64" t="str">
        <f t="shared" si="26"/>
        <v>Short (0-2km)</v>
      </c>
    </row>
    <row r="127" spans="1:30" x14ac:dyDescent="0.3">
      <c r="A127" s="8" t="s">
        <v>374</v>
      </c>
      <c r="B127" s="9" t="s">
        <v>147</v>
      </c>
      <c r="C127" s="9" t="s">
        <v>597</v>
      </c>
      <c r="D127" s="9">
        <v>10</v>
      </c>
      <c r="E127" s="9" t="s">
        <v>396</v>
      </c>
      <c r="F127" s="9" t="s">
        <v>591</v>
      </c>
      <c r="G127" s="10">
        <v>0.81319444444444444</v>
      </c>
      <c r="H127" s="9" t="s">
        <v>557</v>
      </c>
      <c r="I127" s="9">
        <v>5.79</v>
      </c>
      <c r="J127" s="9" t="s">
        <v>69</v>
      </c>
      <c r="K127" s="9">
        <v>278</v>
      </c>
      <c r="L127" s="9">
        <v>114</v>
      </c>
      <c r="M127" s="9" t="s">
        <v>22</v>
      </c>
      <c r="N127" s="9">
        <v>12</v>
      </c>
      <c r="O127" s="9" t="s">
        <v>34</v>
      </c>
      <c r="P127" s="9" t="s">
        <v>24</v>
      </c>
      <c r="Q127" s="9" t="str">
        <f t="shared" si="14"/>
        <v>Traffic</v>
      </c>
      <c r="R127" s="9">
        <f t="shared" si="15"/>
        <v>57.999999999999794</v>
      </c>
      <c r="S127" s="9">
        <f t="shared" si="16"/>
        <v>0.99999999999999645</v>
      </c>
      <c r="T127" s="9">
        <f t="shared" si="17"/>
        <v>8.999999999999968</v>
      </c>
      <c r="U127" s="9">
        <f t="shared" si="27"/>
        <v>37.999999999999865</v>
      </c>
      <c r="V127" s="9">
        <f t="shared" si="18"/>
        <v>19</v>
      </c>
      <c r="W127" s="9" t="str">
        <f t="shared" si="19"/>
        <v>Peak Night</v>
      </c>
      <c r="X127" s="9" t="str">
        <f t="shared" si="20"/>
        <v>Peak</v>
      </c>
      <c r="Y127" s="23">
        <f t="shared" si="21"/>
        <v>0.15236842105263212</v>
      </c>
      <c r="Z127" s="23">
        <f t="shared" si="22"/>
        <v>19.689119170984455</v>
      </c>
      <c r="AA127" s="23">
        <f t="shared" si="23"/>
        <v>0.41007194244604317</v>
      </c>
      <c r="AB127" s="9" t="str">
        <f t="shared" si="24"/>
        <v>Late</v>
      </c>
      <c r="AC127" s="9" t="str">
        <f t="shared" si="25"/>
        <v>No Delay</v>
      </c>
      <c r="AD127" s="64" t="str">
        <f t="shared" si="26"/>
        <v>Long (5+km)</v>
      </c>
    </row>
    <row r="128" spans="1:30" x14ac:dyDescent="0.3">
      <c r="A128" s="8" t="s">
        <v>376</v>
      </c>
      <c r="B128" s="9" t="s">
        <v>679</v>
      </c>
      <c r="C128" s="9" t="s">
        <v>597</v>
      </c>
      <c r="D128" s="9">
        <v>10</v>
      </c>
      <c r="E128" s="9" t="s">
        <v>206</v>
      </c>
      <c r="F128" s="9" t="s">
        <v>155</v>
      </c>
      <c r="G128" s="10">
        <v>0.64513888888888893</v>
      </c>
      <c r="H128" s="9" t="s">
        <v>196</v>
      </c>
      <c r="I128" s="9">
        <v>6.76</v>
      </c>
      <c r="J128" s="9" t="s">
        <v>54</v>
      </c>
      <c r="K128" s="9">
        <v>207</v>
      </c>
      <c r="L128" s="9">
        <v>114</v>
      </c>
      <c r="M128" s="9" t="s">
        <v>22</v>
      </c>
      <c r="N128" s="9">
        <v>15</v>
      </c>
      <c r="O128" s="9" t="s">
        <v>55</v>
      </c>
      <c r="P128" s="9" t="s">
        <v>24</v>
      </c>
      <c r="Q128" s="9" t="str">
        <f t="shared" si="14"/>
        <v>Distance</v>
      </c>
      <c r="R128" s="9">
        <f t="shared" si="15"/>
        <v>52.999999999999972</v>
      </c>
      <c r="S128" s="9">
        <f t="shared" si="16"/>
        <v>1.0000000000001563</v>
      </c>
      <c r="T128" s="9">
        <f t="shared" si="17"/>
        <v>2.9999999999999893</v>
      </c>
      <c r="U128" s="9">
        <f t="shared" si="27"/>
        <v>38.999999999999858</v>
      </c>
      <c r="V128" s="9">
        <f t="shared" si="18"/>
        <v>15</v>
      </c>
      <c r="W128" s="9" t="str">
        <f t="shared" si="19"/>
        <v>Evening</v>
      </c>
      <c r="X128" s="9" t="str">
        <f t="shared" si="20"/>
        <v>Off-Peak</v>
      </c>
      <c r="Y128" s="23">
        <f t="shared" si="21"/>
        <v>0.17333333333333395</v>
      </c>
      <c r="Z128" s="23">
        <f t="shared" si="22"/>
        <v>16.863905325443788</v>
      </c>
      <c r="AA128" s="23">
        <f t="shared" si="23"/>
        <v>0.55072463768115942</v>
      </c>
      <c r="AB128" s="9" t="str">
        <f t="shared" si="24"/>
        <v>Late</v>
      </c>
      <c r="AC128" s="9" t="str">
        <f t="shared" si="25"/>
        <v>No Delay</v>
      </c>
      <c r="AD128" s="64" t="str">
        <f t="shared" si="26"/>
        <v>Long (5+km)</v>
      </c>
    </row>
    <row r="129" spans="1:30" x14ac:dyDescent="0.3">
      <c r="A129" s="8" t="s">
        <v>377</v>
      </c>
      <c r="B129" s="9" t="s">
        <v>689</v>
      </c>
      <c r="C129" s="9" t="s">
        <v>597</v>
      </c>
      <c r="D129" s="9">
        <v>18</v>
      </c>
      <c r="E129" s="9" t="s">
        <v>412</v>
      </c>
      <c r="F129" s="9" t="s">
        <v>696</v>
      </c>
      <c r="G129" s="10">
        <v>0.67361111111111105</v>
      </c>
      <c r="H129" s="9" t="s">
        <v>668</v>
      </c>
      <c r="I129" s="9">
        <v>1.85</v>
      </c>
      <c r="J129" s="9" t="s">
        <v>65</v>
      </c>
      <c r="K129" s="9">
        <v>214</v>
      </c>
      <c r="L129" s="9">
        <v>63</v>
      </c>
      <c r="M129" s="9" t="s">
        <v>22</v>
      </c>
      <c r="N129" s="9">
        <v>18</v>
      </c>
      <c r="O129" s="9" t="s">
        <v>55</v>
      </c>
      <c r="P129" s="9" t="s">
        <v>24</v>
      </c>
      <c r="Q129" s="9" t="str">
        <f t="shared" si="14"/>
        <v>None</v>
      </c>
      <c r="R129" s="9">
        <f t="shared" si="15"/>
        <v>36.000000000000028</v>
      </c>
      <c r="S129" s="9">
        <f t="shared" si="16"/>
        <v>1.999999999999833</v>
      </c>
      <c r="T129" s="9">
        <f t="shared" si="17"/>
        <v>0.99999999999999645</v>
      </c>
      <c r="U129" s="9">
        <f t="shared" si="27"/>
        <v>15.000000000000107</v>
      </c>
      <c r="V129" s="9">
        <f t="shared" si="18"/>
        <v>15</v>
      </c>
      <c r="W129" s="9" t="str">
        <f t="shared" si="19"/>
        <v>Evening</v>
      </c>
      <c r="X129" s="9" t="str">
        <f t="shared" si="20"/>
        <v>Off-Peak</v>
      </c>
      <c r="Y129" s="23">
        <f t="shared" si="21"/>
        <v>0.12333333333333246</v>
      </c>
      <c r="Z129" s="23">
        <f t="shared" si="22"/>
        <v>34.054054054054049</v>
      </c>
      <c r="AA129" s="23">
        <f t="shared" si="23"/>
        <v>0.29439252336448596</v>
      </c>
      <c r="AB129" s="9" t="str">
        <f t="shared" si="24"/>
        <v>On-Time</v>
      </c>
      <c r="AC129" s="9" t="str">
        <f t="shared" si="25"/>
        <v>No Delay</v>
      </c>
      <c r="AD129" s="64" t="str">
        <f t="shared" si="26"/>
        <v>Short (0-2km)</v>
      </c>
    </row>
    <row r="130" spans="1:30" x14ac:dyDescent="0.3">
      <c r="A130" s="8" t="s">
        <v>378</v>
      </c>
      <c r="B130" s="9" t="s">
        <v>31</v>
      </c>
      <c r="C130" s="9" t="s">
        <v>594</v>
      </c>
      <c r="D130" s="9">
        <v>27</v>
      </c>
      <c r="E130" s="9" t="s">
        <v>401</v>
      </c>
      <c r="F130" s="9" t="s">
        <v>756</v>
      </c>
      <c r="G130" s="10">
        <v>0.85347222222222219</v>
      </c>
      <c r="H130" s="9" t="s">
        <v>757</v>
      </c>
      <c r="I130" s="9">
        <v>3.1</v>
      </c>
      <c r="J130" s="9" t="s">
        <v>177</v>
      </c>
      <c r="K130" s="9">
        <v>162</v>
      </c>
      <c r="L130" s="9">
        <v>87</v>
      </c>
      <c r="M130" s="9" t="s">
        <v>22</v>
      </c>
      <c r="N130" s="9">
        <v>8</v>
      </c>
      <c r="O130" s="9" t="s">
        <v>34</v>
      </c>
      <c r="P130" s="9" t="s">
        <v>24</v>
      </c>
      <c r="Q130" s="9" t="str">
        <f t="shared" si="14"/>
        <v>Traffic</v>
      </c>
      <c r="R130" s="9">
        <f t="shared" si="15"/>
        <v>65.999999999999929</v>
      </c>
      <c r="S130" s="9">
        <f t="shared" si="16"/>
        <v>5.9999999999999787</v>
      </c>
      <c r="T130" s="9">
        <f t="shared" si="17"/>
        <v>8.999999999999968</v>
      </c>
      <c r="U130" s="9">
        <f t="shared" si="27"/>
        <v>24.000000000000075</v>
      </c>
      <c r="V130" s="9">
        <f t="shared" si="18"/>
        <v>19</v>
      </c>
      <c r="W130" s="9" t="str">
        <f t="shared" si="19"/>
        <v>Peak Night</v>
      </c>
      <c r="X130" s="9" t="str">
        <f t="shared" si="20"/>
        <v>Peak</v>
      </c>
      <c r="Y130" s="23">
        <f t="shared" si="21"/>
        <v>0.12916666666666626</v>
      </c>
      <c r="Z130" s="23">
        <f t="shared" si="22"/>
        <v>28.064516129032256</v>
      </c>
      <c r="AA130" s="23">
        <f t="shared" si="23"/>
        <v>0.53703703703703709</v>
      </c>
      <c r="AB130" s="9" t="str">
        <f t="shared" si="24"/>
        <v>Late</v>
      </c>
      <c r="AC130" s="9" t="str">
        <f t="shared" si="25"/>
        <v>No Delay</v>
      </c>
      <c r="AD130" s="64" t="str">
        <f t="shared" si="26"/>
        <v>Medium (2-5km)</v>
      </c>
    </row>
    <row r="131" spans="1:30" x14ac:dyDescent="0.3">
      <c r="A131" s="8" t="s">
        <v>383</v>
      </c>
      <c r="B131" s="9" t="s">
        <v>758</v>
      </c>
      <c r="C131" s="9" t="s">
        <v>594</v>
      </c>
      <c r="D131" s="9">
        <v>37</v>
      </c>
      <c r="E131" s="9" t="s">
        <v>759</v>
      </c>
      <c r="F131" s="9" t="s">
        <v>477</v>
      </c>
      <c r="G131" s="10">
        <v>0.47083333333333327</v>
      </c>
      <c r="H131" s="9" t="s">
        <v>192</v>
      </c>
      <c r="I131" s="9">
        <v>5.47</v>
      </c>
      <c r="J131" s="9" t="s">
        <v>54</v>
      </c>
      <c r="K131" s="9">
        <v>234</v>
      </c>
      <c r="L131" s="9">
        <v>109</v>
      </c>
      <c r="M131" s="9" t="s">
        <v>22</v>
      </c>
      <c r="N131" s="9">
        <v>14</v>
      </c>
      <c r="O131" s="9" t="s">
        <v>23</v>
      </c>
      <c r="P131" s="9" t="s">
        <v>24</v>
      </c>
      <c r="Q131" s="9" t="str">
        <f t="shared" ref="Q131:Q194" si="28">IF(M131="Failed",
IF(O131="High","Traffic",
IF(N131&lt;10,"No Rider","Restaurant Delay")),
IF(((H131-B131)*1440 - (D131 + I131*5))&lt;=7,"None",
IF(O131="High","Traffic",
IF(N131&lt;10,"No Rider",
IF(C131="Bulk","Restaurant Delay",
IF(I131&gt;=6,"Distance","None"))))))</f>
        <v>Restaurant Delay</v>
      </c>
      <c r="R131" s="9">
        <f t="shared" ref="R131:R194" si="29">(H131-B131)*1440</f>
        <v>86.999999999999929</v>
      </c>
      <c r="S131" s="9">
        <f t="shared" ref="S131:S194" si="30">(F131-E131)*1440</f>
        <v>5.9999999999999787</v>
      </c>
      <c r="T131" s="9">
        <f t="shared" ref="T131:T194" si="31">(G131-F131)*1440</f>
        <v>3.9999999999999858</v>
      </c>
      <c r="U131" s="9">
        <f t="shared" si="27"/>
        <v>40.000000000000099</v>
      </c>
      <c r="V131" s="9">
        <f t="shared" ref="V131:V194" si="32">HOUR(B131)</f>
        <v>10</v>
      </c>
      <c r="W131" s="9" t="str">
        <f t="shared" ref="W131:W194" si="33">IF(HOUR(B131)&gt;=10,IF(HOUR(B131)&lt;12,"Late Morning",IF(HOUR(B131)&lt;15,"Afternoon",IF(HOUR(B131)&lt;18,"Evening",IF(HOUR(B131)&lt;21,"Peak Night","Late Night")))),"Morning")</f>
        <v>Late Morning</v>
      </c>
      <c r="X131" s="9" t="str">
        <f t="shared" ref="X131:X194" si="34">IF(OR(AND(HOUR(B131)&gt;=12,HOUR(B131)&lt;14),AND(HOUR(B131)&gt;=17,HOUR(B131)&lt;21)),"Peak","Off-Peak")</f>
        <v>Off-Peak</v>
      </c>
      <c r="Y131" s="23">
        <f t="shared" ref="Y131:Y194" si="35">I131/U131</f>
        <v>0.13674999999999965</v>
      </c>
      <c r="Z131" s="23">
        <f t="shared" ref="Z131:Z194" si="36">L131/I131</f>
        <v>19.926873857404022</v>
      </c>
      <c r="AA131" s="23">
        <f t="shared" ref="AA131:AA194" si="37">L131/K131</f>
        <v>0.46581196581196582</v>
      </c>
      <c r="AB131" s="9" t="str">
        <f t="shared" ref="AB131:AB194" si="38">IF((H131-B131)*1440&gt;45,"Late","On-Time")</f>
        <v>Late</v>
      </c>
      <c r="AC131" s="9" t="str">
        <f t="shared" ref="AC131:AC194" si="39">IF(P131="Yes",Q131,"No Delay")</f>
        <v>No Delay</v>
      </c>
      <c r="AD131" s="64" t="str">
        <f t="shared" ref="AD131:AD194" si="40">IF(I131&lt;=2,"Short (0-2km)",IF(I131&lt;=5,"Medium (2-5km)","Long (5+km)"))</f>
        <v>Long (5+km)</v>
      </c>
    </row>
    <row r="132" spans="1:30" x14ac:dyDescent="0.3">
      <c r="A132" s="8" t="s">
        <v>385</v>
      </c>
      <c r="B132" s="9" t="s">
        <v>760</v>
      </c>
      <c r="C132" s="9" t="s">
        <v>597</v>
      </c>
      <c r="D132" s="9">
        <v>15</v>
      </c>
      <c r="E132" s="9" t="s">
        <v>761</v>
      </c>
      <c r="F132" s="9" t="s">
        <v>721</v>
      </c>
      <c r="G132" s="10">
        <v>0.43541666666666667</v>
      </c>
      <c r="H132" s="9" t="s">
        <v>583</v>
      </c>
      <c r="I132" s="9">
        <v>7.46</v>
      </c>
      <c r="J132" s="9" t="s">
        <v>54</v>
      </c>
      <c r="K132" s="9">
        <v>372</v>
      </c>
      <c r="L132" s="9">
        <v>126</v>
      </c>
      <c r="M132" s="9" t="s">
        <v>22</v>
      </c>
      <c r="N132" s="9">
        <v>12</v>
      </c>
      <c r="O132" s="9" t="s">
        <v>23</v>
      </c>
      <c r="P132" s="9" t="s">
        <v>24</v>
      </c>
      <c r="Q132" s="9" t="str">
        <f t="shared" si="28"/>
        <v>Distance</v>
      </c>
      <c r="R132" s="9">
        <f t="shared" si="29"/>
        <v>67</v>
      </c>
      <c r="S132" s="9">
        <f t="shared" si="30"/>
        <v>1.0000000000000764</v>
      </c>
      <c r="T132" s="9">
        <f t="shared" si="31"/>
        <v>2.9999999999999893</v>
      </c>
      <c r="U132" s="9">
        <f t="shared" ref="U132:U195" si="41">(H132-G132)*1440</f>
        <v>47.999999999999986</v>
      </c>
      <c r="V132" s="9">
        <f t="shared" si="32"/>
        <v>10</v>
      </c>
      <c r="W132" s="9" t="str">
        <f t="shared" si="33"/>
        <v>Late Morning</v>
      </c>
      <c r="X132" s="9" t="str">
        <f t="shared" si="34"/>
        <v>Off-Peak</v>
      </c>
      <c r="Y132" s="23">
        <f t="shared" si="35"/>
        <v>0.1554166666666667</v>
      </c>
      <c r="Z132" s="23">
        <f t="shared" si="36"/>
        <v>16.890080428954423</v>
      </c>
      <c r="AA132" s="23">
        <f t="shared" si="37"/>
        <v>0.33870967741935482</v>
      </c>
      <c r="AB132" s="9" t="str">
        <f t="shared" si="38"/>
        <v>Late</v>
      </c>
      <c r="AC132" s="9" t="str">
        <f t="shared" si="39"/>
        <v>No Delay</v>
      </c>
      <c r="AD132" s="64" t="str">
        <f t="shared" si="40"/>
        <v>Long (5+km)</v>
      </c>
    </row>
    <row r="133" spans="1:30" x14ac:dyDescent="0.3">
      <c r="A133" s="8" t="s">
        <v>386</v>
      </c>
      <c r="B133" s="9" t="s">
        <v>486</v>
      </c>
      <c r="C133" s="9" t="s">
        <v>594</v>
      </c>
      <c r="D133" s="9">
        <v>40</v>
      </c>
      <c r="E133" s="9" t="s">
        <v>624</v>
      </c>
      <c r="F133" s="9" t="s">
        <v>632</v>
      </c>
      <c r="G133" s="10">
        <v>0.74097222222222214</v>
      </c>
      <c r="H133" s="9" t="s">
        <v>217</v>
      </c>
      <c r="I133" s="9">
        <v>4.75</v>
      </c>
      <c r="J133" s="9" t="s">
        <v>211</v>
      </c>
      <c r="K133" s="9">
        <v>206</v>
      </c>
      <c r="L133" s="9">
        <v>95</v>
      </c>
      <c r="M133" s="9" t="s">
        <v>22</v>
      </c>
      <c r="N133" s="9">
        <v>19</v>
      </c>
      <c r="O133" s="9" t="s">
        <v>55</v>
      </c>
      <c r="P133" s="9" t="s">
        <v>24</v>
      </c>
      <c r="Q133" s="9" t="str">
        <f t="shared" si="28"/>
        <v>Restaurant Delay</v>
      </c>
      <c r="R133" s="9">
        <f t="shared" si="29"/>
        <v>81.000000000000028</v>
      </c>
      <c r="S133" s="9">
        <f t="shared" si="30"/>
        <v>7.9999999999999716</v>
      </c>
      <c r="T133" s="9">
        <f t="shared" si="31"/>
        <v>4.9999999999999822</v>
      </c>
      <c r="U133" s="9">
        <f t="shared" si="41"/>
        <v>28.00000000000006</v>
      </c>
      <c r="V133" s="9">
        <f t="shared" si="32"/>
        <v>16</v>
      </c>
      <c r="W133" s="9" t="str">
        <f t="shared" si="33"/>
        <v>Evening</v>
      </c>
      <c r="X133" s="9" t="str">
        <f t="shared" si="34"/>
        <v>Off-Peak</v>
      </c>
      <c r="Y133" s="23">
        <f t="shared" si="35"/>
        <v>0.16964285714285679</v>
      </c>
      <c r="Z133" s="23">
        <f t="shared" si="36"/>
        <v>20</v>
      </c>
      <c r="AA133" s="23">
        <f t="shared" si="37"/>
        <v>0.46116504854368934</v>
      </c>
      <c r="AB133" s="9" t="str">
        <f t="shared" si="38"/>
        <v>Late</v>
      </c>
      <c r="AC133" s="9" t="str">
        <f t="shared" si="39"/>
        <v>No Delay</v>
      </c>
      <c r="AD133" s="64" t="str">
        <f t="shared" si="40"/>
        <v>Medium (2-5km)</v>
      </c>
    </row>
    <row r="134" spans="1:30" x14ac:dyDescent="0.3">
      <c r="A134" s="8" t="s">
        <v>388</v>
      </c>
      <c r="B134" s="9" t="s">
        <v>591</v>
      </c>
      <c r="C134" s="9" t="s">
        <v>594</v>
      </c>
      <c r="D134" s="9">
        <v>28</v>
      </c>
      <c r="E134" s="9" t="s">
        <v>61</v>
      </c>
      <c r="F134" s="9" t="s">
        <v>150</v>
      </c>
      <c r="G134" s="10">
        <v>0.8388888888888888</v>
      </c>
      <c r="H134" s="9" t="s">
        <v>762</v>
      </c>
      <c r="I134" s="9">
        <v>2.5099999999999998</v>
      </c>
      <c r="J134" s="9" t="s">
        <v>54</v>
      </c>
      <c r="K134" s="9">
        <v>155</v>
      </c>
      <c r="L134" s="9">
        <v>83</v>
      </c>
      <c r="M134" s="9" t="s">
        <v>22</v>
      </c>
      <c r="N134" s="9">
        <v>9</v>
      </c>
      <c r="O134" s="9" t="s">
        <v>34</v>
      </c>
      <c r="P134" s="9" t="s">
        <v>24</v>
      </c>
      <c r="Q134" s="9" t="str">
        <f t="shared" si="28"/>
        <v>Traffic</v>
      </c>
      <c r="R134" s="9">
        <f t="shared" si="29"/>
        <v>67.999999999999915</v>
      </c>
      <c r="S134" s="9">
        <f t="shared" si="30"/>
        <v>7.9999999999999716</v>
      </c>
      <c r="T134" s="9">
        <f t="shared" si="31"/>
        <v>9.9999999999999645</v>
      </c>
      <c r="U134" s="9">
        <f t="shared" si="41"/>
        <v>22.000000000000082</v>
      </c>
      <c r="V134" s="9">
        <f t="shared" si="32"/>
        <v>19</v>
      </c>
      <c r="W134" s="9" t="str">
        <f t="shared" si="33"/>
        <v>Peak Night</v>
      </c>
      <c r="X134" s="9" t="str">
        <f t="shared" si="34"/>
        <v>Peak</v>
      </c>
      <c r="Y134" s="23">
        <f t="shared" si="35"/>
        <v>0.11409090909090866</v>
      </c>
      <c r="Z134" s="23">
        <f t="shared" si="36"/>
        <v>33.067729083665341</v>
      </c>
      <c r="AA134" s="23">
        <f t="shared" si="37"/>
        <v>0.53548387096774197</v>
      </c>
      <c r="AB134" s="9" t="str">
        <f t="shared" si="38"/>
        <v>Late</v>
      </c>
      <c r="AC134" s="9" t="str">
        <f t="shared" si="39"/>
        <v>No Delay</v>
      </c>
      <c r="AD134" s="64" t="str">
        <f t="shared" si="40"/>
        <v>Medium (2-5km)</v>
      </c>
    </row>
    <row r="135" spans="1:30" x14ac:dyDescent="0.3">
      <c r="A135" s="8" t="s">
        <v>390</v>
      </c>
      <c r="B135" s="9" t="s">
        <v>147</v>
      </c>
      <c r="C135" s="9" t="s">
        <v>597</v>
      </c>
      <c r="D135" s="9">
        <v>18</v>
      </c>
      <c r="E135" s="9" t="s">
        <v>139</v>
      </c>
      <c r="F135" s="9" t="s">
        <v>139</v>
      </c>
      <c r="G135" s="10">
        <v>0.81944444444444442</v>
      </c>
      <c r="H135" s="9" t="s">
        <v>387</v>
      </c>
      <c r="I135" s="9">
        <v>1.88</v>
      </c>
      <c r="J135" s="9" t="s">
        <v>21</v>
      </c>
      <c r="K135" s="9">
        <v>167</v>
      </c>
      <c r="L135" s="9">
        <v>80</v>
      </c>
      <c r="M135" s="9" t="s">
        <v>22</v>
      </c>
      <c r="N135" s="9">
        <v>10</v>
      </c>
      <c r="O135" s="9" t="s">
        <v>34</v>
      </c>
      <c r="P135" s="9" t="s">
        <v>24</v>
      </c>
      <c r="Q135" s="9" t="str">
        <f t="shared" si="28"/>
        <v>Traffic</v>
      </c>
      <c r="R135" s="9">
        <f t="shared" si="29"/>
        <v>50.999999999999979</v>
      </c>
      <c r="S135" s="9">
        <f t="shared" si="30"/>
        <v>0</v>
      </c>
      <c r="T135" s="9">
        <f t="shared" si="31"/>
        <v>10.999999999999961</v>
      </c>
      <c r="U135" s="9">
        <f t="shared" si="41"/>
        <v>22.000000000000082</v>
      </c>
      <c r="V135" s="9">
        <f t="shared" si="32"/>
        <v>19</v>
      </c>
      <c r="W135" s="9" t="str">
        <f t="shared" si="33"/>
        <v>Peak Night</v>
      </c>
      <c r="X135" s="9" t="str">
        <f t="shared" si="34"/>
        <v>Peak</v>
      </c>
      <c r="Y135" s="23">
        <f t="shared" si="35"/>
        <v>8.5454545454545131E-2</v>
      </c>
      <c r="Z135" s="23">
        <f t="shared" si="36"/>
        <v>42.553191489361701</v>
      </c>
      <c r="AA135" s="23">
        <f t="shared" si="37"/>
        <v>0.47904191616766467</v>
      </c>
      <c r="AB135" s="9" t="str">
        <f t="shared" si="38"/>
        <v>Late</v>
      </c>
      <c r="AC135" s="9" t="str">
        <f t="shared" si="39"/>
        <v>No Delay</v>
      </c>
      <c r="AD135" s="64" t="str">
        <f t="shared" si="40"/>
        <v>Short (0-2km)</v>
      </c>
    </row>
    <row r="136" spans="1:30" x14ac:dyDescent="0.3">
      <c r="A136" s="8" t="s">
        <v>391</v>
      </c>
      <c r="B136" s="9" t="s">
        <v>755</v>
      </c>
      <c r="C136" s="9" t="s">
        <v>597</v>
      </c>
      <c r="D136" s="9">
        <v>18</v>
      </c>
      <c r="E136" s="9" t="s">
        <v>51</v>
      </c>
      <c r="F136" s="9" t="s">
        <v>653</v>
      </c>
      <c r="G136" s="10">
        <v>0.69027777777777777</v>
      </c>
      <c r="H136" s="9" t="s">
        <v>763</v>
      </c>
      <c r="I136" s="9">
        <v>1.21</v>
      </c>
      <c r="J136" s="9" t="s">
        <v>65</v>
      </c>
      <c r="K136" s="9">
        <v>183</v>
      </c>
      <c r="L136" s="9">
        <v>61</v>
      </c>
      <c r="M136" s="9" t="s">
        <v>22</v>
      </c>
      <c r="N136" s="9">
        <v>20</v>
      </c>
      <c r="O136" s="9" t="s">
        <v>55</v>
      </c>
      <c r="P136" s="9" t="s">
        <v>24</v>
      </c>
      <c r="Q136" s="9" t="str">
        <f t="shared" si="28"/>
        <v>None</v>
      </c>
      <c r="R136" s="9">
        <f t="shared" si="29"/>
        <v>37.000000000000028</v>
      </c>
      <c r="S136" s="9">
        <f t="shared" si="30"/>
        <v>1.9999999999999929</v>
      </c>
      <c r="T136" s="9">
        <f t="shared" si="31"/>
        <v>2.9999999999999893</v>
      </c>
      <c r="U136" s="9">
        <f t="shared" si="41"/>
        <v>14.00000000000011</v>
      </c>
      <c r="V136" s="9">
        <f t="shared" si="32"/>
        <v>16</v>
      </c>
      <c r="W136" s="9" t="str">
        <f t="shared" si="33"/>
        <v>Evening</v>
      </c>
      <c r="X136" s="9" t="str">
        <f t="shared" si="34"/>
        <v>Off-Peak</v>
      </c>
      <c r="Y136" s="23">
        <f t="shared" si="35"/>
        <v>8.6428571428570744E-2</v>
      </c>
      <c r="Z136" s="23">
        <f t="shared" si="36"/>
        <v>50.413223140495866</v>
      </c>
      <c r="AA136" s="23">
        <f t="shared" si="37"/>
        <v>0.33333333333333331</v>
      </c>
      <c r="AB136" s="9" t="str">
        <f t="shared" si="38"/>
        <v>On-Time</v>
      </c>
      <c r="AC136" s="9" t="str">
        <f t="shared" si="39"/>
        <v>No Delay</v>
      </c>
      <c r="AD136" s="64" t="str">
        <f t="shared" si="40"/>
        <v>Short (0-2km)</v>
      </c>
    </row>
    <row r="137" spans="1:30" x14ac:dyDescent="0.3">
      <c r="A137" s="8" t="s">
        <v>392</v>
      </c>
      <c r="B137" s="9" t="s">
        <v>389</v>
      </c>
      <c r="C137" s="9" t="s">
        <v>597</v>
      </c>
      <c r="D137" s="9">
        <v>12</v>
      </c>
      <c r="E137" s="9" t="s">
        <v>332</v>
      </c>
      <c r="F137" s="9" t="s">
        <v>342</v>
      </c>
      <c r="G137" s="10">
        <v>0.48333333333333334</v>
      </c>
      <c r="H137" s="9" t="s">
        <v>18</v>
      </c>
      <c r="I137" s="9">
        <v>4.3899999999999997</v>
      </c>
      <c r="J137" s="9" t="s">
        <v>33</v>
      </c>
      <c r="K137" s="9">
        <v>224</v>
      </c>
      <c r="L137" s="9">
        <v>94</v>
      </c>
      <c r="M137" s="9" t="s">
        <v>22</v>
      </c>
      <c r="N137" s="9">
        <v>17</v>
      </c>
      <c r="O137" s="9" t="s">
        <v>23</v>
      </c>
      <c r="P137" s="9" t="s">
        <v>24</v>
      </c>
      <c r="Q137" s="9" t="str">
        <f t="shared" si="28"/>
        <v>None</v>
      </c>
      <c r="R137" s="9">
        <f t="shared" si="29"/>
        <v>47.999999999999908</v>
      </c>
      <c r="S137" s="9">
        <f t="shared" si="30"/>
        <v>1.9999999999999929</v>
      </c>
      <c r="T137" s="9">
        <f t="shared" si="31"/>
        <v>5.9999999999999787</v>
      </c>
      <c r="U137" s="9">
        <f t="shared" si="41"/>
        <v>27.999999999999979</v>
      </c>
      <c r="V137" s="9">
        <f t="shared" si="32"/>
        <v>11</v>
      </c>
      <c r="W137" s="9" t="str">
        <f t="shared" si="33"/>
        <v>Late Morning</v>
      </c>
      <c r="X137" s="9" t="str">
        <f t="shared" si="34"/>
        <v>Off-Peak</v>
      </c>
      <c r="Y137" s="23">
        <f t="shared" si="35"/>
        <v>0.15678571428571439</v>
      </c>
      <c r="Z137" s="23">
        <f t="shared" si="36"/>
        <v>21.412300683371299</v>
      </c>
      <c r="AA137" s="23">
        <f t="shared" si="37"/>
        <v>0.41964285714285715</v>
      </c>
      <c r="AB137" s="9" t="str">
        <f t="shared" si="38"/>
        <v>Late</v>
      </c>
      <c r="AC137" s="9" t="str">
        <f t="shared" si="39"/>
        <v>No Delay</v>
      </c>
      <c r="AD137" s="64" t="str">
        <f t="shared" si="40"/>
        <v>Medium (2-5km)</v>
      </c>
    </row>
    <row r="138" spans="1:30" x14ac:dyDescent="0.3">
      <c r="A138" s="8" t="s">
        <v>394</v>
      </c>
      <c r="B138" s="9" t="s">
        <v>380</v>
      </c>
      <c r="C138" s="9" t="s">
        <v>597</v>
      </c>
      <c r="D138" s="9">
        <v>16</v>
      </c>
      <c r="E138" s="9" t="s">
        <v>318</v>
      </c>
      <c r="F138" s="9" t="s">
        <v>74</v>
      </c>
      <c r="G138" s="10">
        <v>0.5395833333333333</v>
      </c>
      <c r="H138" s="9" t="s">
        <v>657</v>
      </c>
      <c r="I138" s="9">
        <v>3.84</v>
      </c>
      <c r="J138" s="9" t="s">
        <v>90</v>
      </c>
      <c r="K138" s="9">
        <v>320</v>
      </c>
      <c r="L138" s="9">
        <v>91</v>
      </c>
      <c r="M138" s="9" t="s">
        <v>22</v>
      </c>
      <c r="N138" s="9">
        <v>18</v>
      </c>
      <c r="O138" s="9" t="s">
        <v>23</v>
      </c>
      <c r="P138" s="9" t="s">
        <v>24</v>
      </c>
      <c r="Q138" s="9" t="str">
        <f t="shared" si="28"/>
        <v>None</v>
      </c>
      <c r="R138" s="9">
        <f t="shared" si="29"/>
        <v>50.999999999999979</v>
      </c>
      <c r="S138" s="9">
        <f t="shared" si="30"/>
        <v>0.99999999999999645</v>
      </c>
      <c r="T138" s="9">
        <f t="shared" si="31"/>
        <v>0.99999999999999645</v>
      </c>
      <c r="U138" s="9">
        <f t="shared" si="41"/>
        <v>33.000000000000043</v>
      </c>
      <c r="V138" s="9">
        <f t="shared" si="32"/>
        <v>12</v>
      </c>
      <c r="W138" s="9" t="str">
        <f t="shared" si="33"/>
        <v>Afternoon</v>
      </c>
      <c r="X138" s="9" t="str">
        <f t="shared" si="34"/>
        <v>Peak</v>
      </c>
      <c r="Y138" s="23">
        <f t="shared" si="35"/>
        <v>0.11636363636363621</v>
      </c>
      <c r="Z138" s="23">
        <f t="shared" si="36"/>
        <v>23.697916666666668</v>
      </c>
      <c r="AA138" s="23">
        <f t="shared" si="37"/>
        <v>0.28437499999999999</v>
      </c>
      <c r="AB138" s="9" t="str">
        <f t="shared" si="38"/>
        <v>Late</v>
      </c>
      <c r="AC138" s="9" t="str">
        <f t="shared" si="39"/>
        <v>No Delay</v>
      </c>
      <c r="AD138" s="64" t="str">
        <f t="shared" si="40"/>
        <v>Medium (2-5km)</v>
      </c>
    </row>
    <row r="139" spans="1:30" x14ac:dyDescent="0.3">
      <c r="A139" s="8" t="s">
        <v>397</v>
      </c>
      <c r="B139" s="9" t="s">
        <v>760</v>
      </c>
      <c r="C139" s="9" t="s">
        <v>597</v>
      </c>
      <c r="D139" s="9">
        <v>10</v>
      </c>
      <c r="E139" s="9" t="s">
        <v>764</v>
      </c>
      <c r="F139" s="9" t="s">
        <v>764</v>
      </c>
      <c r="G139" s="10">
        <v>0.43194444444444446</v>
      </c>
      <c r="H139" s="9" t="s">
        <v>598</v>
      </c>
      <c r="I139" s="9">
        <v>1.93</v>
      </c>
      <c r="J139" s="9" t="s">
        <v>126</v>
      </c>
      <c r="K139" s="9">
        <v>349</v>
      </c>
      <c r="L139" s="9">
        <v>74</v>
      </c>
      <c r="M139" s="9" t="s">
        <v>22</v>
      </c>
      <c r="N139" s="9">
        <v>18</v>
      </c>
      <c r="O139" s="9" t="s">
        <v>23</v>
      </c>
      <c r="P139" s="9" t="s">
        <v>24</v>
      </c>
      <c r="Q139" s="9" t="str">
        <f t="shared" si="28"/>
        <v>None</v>
      </c>
      <c r="R139" s="9">
        <f t="shared" si="29"/>
        <v>35.99999999999995</v>
      </c>
      <c r="S139" s="9">
        <f t="shared" si="30"/>
        <v>0</v>
      </c>
      <c r="T139" s="9">
        <f t="shared" si="31"/>
        <v>3.9999999999999858</v>
      </c>
      <c r="U139" s="9">
        <f t="shared" si="41"/>
        <v>21.999999999999922</v>
      </c>
      <c r="V139" s="9">
        <f t="shared" si="32"/>
        <v>10</v>
      </c>
      <c r="W139" s="9" t="str">
        <f t="shared" si="33"/>
        <v>Late Morning</v>
      </c>
      <c r="X139" s="9" t="str">
        <f t="shared" si="34"/>
        <v>Off-Peak</v>
      </c>
      <c r="Y139" s="23">
        <f t="shared" si="35"/>
        <v>8.7727272727273042E-2</v>
      </c>
      <c r="Z139" s="23">
        <f t="shared" si="36"/>
        <v>38.3419689119171</v>
      </c>
      <c r="AA139" s="23">
        <f t="shared" si="37"/>
        <v>0.21203438395415472</v>
      </c>
      <c r="AB139" s="9" t="str">
        <f t="shared" si="38"/>
        <v>On-Time</v>
      </c>
      <c r="AC139" s="9" t="str">
        <f t="shared" si="39"/>
        <v>No Delay</v>
      </c>
      <c r="AD139" s="64" t="str">
        <f t="shared" si="40"/>
        <v>Short (0-2km)</v>
      </c>
    </row>
    <row r="140" spans="1:30" x14ac:dyDescent="0.3">
      <c r="A140" s="8" t="s">
        <v>398</v>
      </c>
      <c r="B140" s="9" t="s">
        <v>36</v>
      </c>
      <c r="C140" s="9" t="s">
        <v>597</v>
      </c>
      <c r="D140" s="9">
        <v>15</v>
      </c>
      <c r="E140" s="9" t="s">
        <v>37</v>
      </c>
      <c r="F140" s="9" t="s">
        <v>37</v>
      </c>
      <c r="G140" s="10">
        <v>0.72777777777777775</v>
      </c>
      <c r="H140" s="9" t="s">
        <v>128</v>
      </c>
      <c r="I140" s="9">
        <v>5.24</v>
      </c>
      <c r="J140" s="9" t="s">
        <v>99</v>
      </c>
      <c r="K140" s="9">
        <v>349</v>
      </c>
      <c r="L140" s="9">
        <v>105</v>
      </c>
      <c r="M140" s="9" t="s">
        <v>22</v>
      </c>
      <c r="N140" s="9">
        <v>15</v>
      </c>
      <c r="O140" s="9" t="s">
        <v>23</v>
      </c>
      <c r="P140" s="9" t="s">
        <v>24</v>
      </c>
      <c r="Q140" s="9" t="str">
        <f t="shared" si="28"/>
        <v>None</v>
      </c>
      <c r="R140" s="9">
        <f t="shared" si="29"/>
        <v>55.999999999999957</v>
      </c>
      <c r="S140" s="9">
        <f t="shared" si="30"/>
        <v>0</v>
      </c>
      <c r="T140" s="9">
        <f t="shared" si="31"/>
        <v>0.99999999999999645</v>
      </c>
      <c r="U140" s="9">
        <f t="shared" si="41"/>
        <v>40.000000000000014</v>
      </c>
      <c r="V140" s="9">
        <f t="shared" si="32"/>
        <v>17</v>
      </c>
      <c r="W140" s="9" t="str">
        <f t="shared" si="33"/>
        <v>Evening</v>
      </c>
      <c r="X140" s="9" t="str">
        <f t="shared" si="34"/>
        <v>Peak</v>
      </c>
      <c r="Y140" s="23">
        <f t="shared" si="35"/>
        <v>0.13099999999999995</v>
      </c>
      <c r="Z140" s="23">
        <f t="shared" si="36"/>
        <v>20.038167938931299</v>
      </c>
      <c r="AA140" s="23">
        <f t="shared" si="37"/>
        <v>0.3008595988538682</v>
      </c>
      <c r="AB140" s="9" t="str">
        <f t="shared" si="38"/>
        <v>Late</v>
      </c>
      <c r="AC140" s="9" t="str">
        <f t="shared" si="39"/>
        <v>No Delay</v>
      </c>
      <c r="AD140" s="64" t="str">
        <f t="shared" si="40"/>
        <v>Long (5+km)</v>
      </c>
    </row>
    <row r="141" spans="1:30" x14ac:dyDescent="0.3">
      <c r="A141" s="8" t="s">
        <v>400</v>
      </c>
      <c r="B141" s="9" t="s">
        <v>765</v>
      </c>
      <c r="C141" s="9" t="s">
        <v>597</v>
      </c>
      <c r="D141" s="9">
        <v>11</v>
      </c>
      <c r="E141" s="9" t="s">
        <v>766</v>
      </c>
      <c r="F141" s="9" t="s">
        <v>767</v>
      </c>
      <c r="G141" s="10">
        <v>0.42708333333333331</v>
      </c>
      <c r="H141" s="9" t="s">
        <v>350</v>
      </c>
      <c r="I141" s="9">
        <v>4.71</v>
      </c>
      <c r="J141" s="9" t="s">
        <v>69</v>
      </c>
      <c r="K141" s="9">
        <v>350</v>
      </c>
      <c r="L141" s="9">
        <v>98</v>
      </c>
      <c r="M141" s="9" t="s">
        <v>22</v>
      </c>
      <c r="N141" s="9">
        <v>16</v>
      </c>
      <c r="O141" s="9" t="s">
        <v>23</v>
      </c>
      <c r="P141" s="9" t="s">
        <v>24</v>
      </c>
      <c r="Q141" s="9" t="str">
        <f t="shared" si="28"/>
        <v>None</v>
      </c>
      <c r="R141" s="9">
        <f t="shared" si="29"/>
        <v>48.999999999999986</v>
      </c>
      <c r="S141" s="9">
        <f t="shared" si="30"/>
        <v>1.9999999999999929</v>
      </c>
      <c r="T141" s="9">
        <f t="shared" si="31"/>
        <v>1.9999999999999929</v>
      </c>
      <c r="U141" s="9">
        <f t="shared" si="41"/>
        <v>34.000000000000043</v>
      </c>
      <c r="V141" s="9">
        <f t="shared" si="32"/>
        <v>10</v>
      </c>
      <c r="W141" s="9" t="str">
        <f t="shared" si="33"/>
        <v>Late Morning</v>
      </c>
      <c r="X141" s="9" t="str">
        <f t="shared" si="34"/>
        <v>Off-Peak</v>
      </c>
      <c r="Y141" s="23">
        <f t="shared" si="35"/>
        <v>0.13852941176470571</v>
      </c>
      <c r="Z141" s="23">
        <f t="shared" si="36"/>
        <v>20.806794055201699</v>
      </c>
      <c r="AA141" s="23">
        <f t="shared" si="37"/>
        <v>0.28000000000000003</v>
      </c>
      <c r="AB141" s="9" t="str">
        <f t="shared" si="38"/>
        <v>Late</v>
      </c>
      <c r="AC141" s="9" t="str">
        <f t="shared" si="39"/>
        <v>No Delay</v>
      </c>
      <c r="AD141" s="64" t="str">
        <f t="shared" si="40"/>
        <v>Medium (2-5km)</v>
      </c>
    </row>
    <row r="142" spans="1:30" x14ac:dyDescent="0.3">
      <c r="A142" s="8" t="s">
        <v>402</v>
      </c>
      <c r="B142" s="9" t="s">
        <v>704</v>
      </c>
      <c r="C142" s="9" t="s">
        <v>597</v>
      </c>
      <c r="D142" s="9">
        <v>13</v>
      </c>
      <c r="E142" s="9" t="s">
        <v>281</v>
      </c>
      <c r="F142" s="9" t="s">
        <v>84</v>
      </c>
      <c r="G142" s="10">
        <v>0.68263888888888891</v>
      </c>
      <c r="H142" s="9" t="s">
        <v>297</v>
      </c>
      <c r="I142" s="9">
        <v>1.74</v>
      </c>
      <c r="J142" s="9" t="s">
        <v>99</v>
      </c>
      <c r="K142" s="9">
        <v>179</v>
      </c>
      <c r="L142" s="9">
        <v>63</v>
      </c>
      <c r="M142" s="9" t="s">
        <v>22</v>
      </c>
      <c r="N142" s="9">
        <v>19</v>
      </c>
      <c r="O142" s="9" t="s">
        <v>55</v>
      </c>
      <c r="P142" s="9" t="s">
        <v>24</v>
      </c>
      <c r="Q142" s="9" t="str">
        <f t="shared" si="28"/>
        <v>None</v>
      </c>
      <c r="R142" s="9">
        <f t="shared" si="29"/>
        <v>31.00000000000005</v>
      </c>
      <c r="S142" s="9">
        <f t="shared" si="30"/>
        <v>1.9999999999999929</v>
      </c>
      <c r="T142" s="9">
        <f t="shared" si="31"/>
        <v>3.9999999999999858</v>
      </c>
      <c r="U142" s="9">
        <f t="shared" si="41"/>
        <v>11.999999999999957</v>
      </c>
      <c r="V142" s="9">
        <f t="shared" si="32"/>
        <v>16</v>
      </c>
      <c r="W142" s="9" t="str">
        <f t="shared" si="33"/>
        <v>Evening</v>
      </c>
      <c r="X142" s="9" t="str">
        <f t="shared" si="34"/>
        <v>Off-Peak</v>
      </c>
      <c r="Y142" s="23">
        <f t="shared" si="35"/>
        <v>0.14500000000000052</v>
      </c>
      <c r="Z142" s="23">
        <f t="shared" si="36"/>
        <v>36.206896551724135</v>
      </c>
      <c r="AA142" s="23">
        <f t="shared" si="37"/>
        <v>0.35195530726256985</v>
      </c>
      <c r="AB142" s="9" t="str">
        <f t="shared" si="38"/>
        <v>On-Time</v>
      </c>
      <c r="AC142" s="9" t="str">
        <f t="shared" si="39"/>
        <v>No Delay</v>
      </c>
      <c r="AD142" s="64" t="str">
        <f t="shared" si="40"/>
        <v>Short (0-2km)</v>
      </c>
    </row>
    <row r="143" spans="1:30" x14ac:dyDescent="0.3">
      <c r="A143" s="8" t="s">
        <v>404</v>
      </c>
      <c r="B143" s="9" t="s">
        <v>714</v>
      </c>
      <c r="C143" s="9" t="s">
        <v>597</v>
      </c>
      <c r="D143" s="9">
        <v>15</v>
      </c>
      <c r="E143" s="9" t="s">
        <v>156</v>
      </c>
      <c r="F143" s="9" t="s">
        <v>156</v>
      </c>
      <c r="G143" s="10">
        <v>0.65069444444444446</v>
      </c>
      <c r="H143" s="9" t="s">
        <v>722</v>
      </c>
      <c r="I143" s="9">
        <v>5.38</v>
      </c>
      <c r="J143" s="9" t="s">
        <v>40</v>
      </c>
      <c r="K143" s="9">
        <v>256</v>
      </c>
      <c r="L143" s="9">
        <v>103</v>
      </c>
      <c r="M143" s="9" t="s">
        <v>22</v>
      </c>
      <c r="N143" s="9">
        <v>17</v>
      </c>
      <c r="O143" s="9" t="s">
        <v>55</v>
      </c>
      <c r="P143" s="9" t="s">
        <v>24</v>
      </c>
      <c r="Q143" s="9" t="str">
        <f t="shared" si="28"/>
        <v>None</v>
      </c>
      <c r="R143" s="9">
        <f t="shared" si="29"/>
        <v>53.000000000000128</v>
      </c>
      <c r="S143" s="9">
        <f t="shared" si="30"/>
        <v>0</v>
      </c>
      <c r="T143" s="9">
        <f t="shared" si="31"/>
        <v>0.99999999999999645</v>
      </c>
      <c r="U143" s="9">
        <f t="shared" si="41"/>
        <v>37.000000000000028</v>
      </c>
      <c r="V143" s="9">
        <f t="shared" si="32"/>
        <v>15</v>
      </c>
      <c r="W143" s="9" t="str">
        <f t="shared" si="33"/>
        <v>Evening</v>
      </c>
      <c r="X143" s="9" t="str">
        <f t="shared" si="34"/>
        <v>Off-Peak</v>
      </c>
      <c r="Y143" s="23">
        <f t="shared" si="35"/>
        <v>0.14540540540540528</v>
      </c>
      <c r="Z143" s="23">
        <f t="shared" si="36"/>
        <v>19.144981412639407</v>
      </c>
      <c r="AA143" s="23">
        <f t="shared" si="37"/>
        <v>0.40234375</v>
      </c>
      <c r="AB143" s="9" t="str">
        <f t="shared" si="38"/>
        <v>Late</v>
      </c>
      <c r="AC143" s="9" t="str">
        <f t="shared" si="39"/>
        <v>No Delay</v>
      </c>
      <c r="AD143" s="64" t="str">
        <f t="shared" si="40"/>
        <v>Long (5+km)</v>
      </c>
    </row>
    <row r="144" spans="1:30" x14ac:dyDescent="0.3">
      <c r="A144" s="8" t="s">
        <v>406</v>
      </c>
      <c r="B144" s="9" t="s">
        <v>412</v>
      </c>
      <c r="C144" s="9" t="s">
        <v>597</v>
      </c>
      <c r="D144" s="9">
        <v>15</v>
      </c>
      <c r="E144" s="9" t="s">
        <v>607</v>
      </c>
      <c r="F144" s="9" t="s">
        <v>769</v>
      </c>
      <c r="G144" s="10">
        <v>0.68472222222222223</v>
      </c>
      <c r="H144" s="9" t="s">
        <v>763</v>
      </c>
      <c r="I144" s="9">
        <v>2.67</v>
      </c>
      <c r="J144" s="9" t="s">
        <v>118</v>
      </c>
      <c r="K144" s="9">
        <v>179</v>
      </c>
      <c r="L144" s="9">
        <v>76</v>
      </c>
      <c r="M144" s="9" t="s">
        <v>77</v>
      </c>
      <c r="N144" s="9">
        <v>18</v>
      </c>
      <c r="O144" s="9" t="s">
        <v>55</v>
      </c>
      <c r="P144" s="9" t="s">
        <v>78</v>
      </c>
      <c r="Q144" s="9" t="str">
        <f t="shared" si="28"/>
        <v>Restaurant Delay</v>
      </c>
      <c r="R144" s="9">
        <f t="shared" si="29"/>
        <v>41.000000000000014</v>
      </c>
      <c r="S144" s="9">
        <f t="shared" si="30"/>
        <v>0.99999999999999645</v>
      </c>
      <c r="T144" s="9">
        <f t="shared" si="31"/>
        <v>2.9999999999999893</v>
      </c>
      <c r="U144" s="9">
        <f t="shared" si="41"/>
        <v>22.000000000000082</v>
      </c>
      <c r="V144" s="9">
        <f t="shared" si="32"/>
        <v>16</v>
      </c>
      <c r="W144" s="9" t="str">
        <f t="shared" si="33"/>
        <v>Evening</v>
      </c>
      <c r="X144" s="9" t="str">
        <f t="shared" si="34"/>
        <v>Off-Peak</v>
      </c>
      <c r="Y144" s="23">
        <f t="shared" si="35"/>
        <v>0.12136363636363591</v>
      </c>
      <c r="Z144" s="23">
        <f t="shared" si="36"/>
        <v>28.464419475655433</v>
      </c>
      <c r="AA144" s="23">
        <f t="shared" si="37"/>
        <v>0.42458100558659218</v>
      </c>
      <c r="AB144" s="9" t="str">
        <f t="shared" si="38"/>
        <v>On-Time</v>
      </c>
      <c r="AC144" s="9" t="str">
        <f t="shared" si="39"/>
        <v>Restaurant Delay</v>
      </c>
      <c r="AD144" s="64" t="str">
        <f t="shared" si="40"/>
        <v>Medium (2-5km)</v>
      </c>
    </row>
    <row r="145" spans="1:30" x14ac:dyDescent="0.3">
      <c r="A145" s="8" t="s">
        <v>407</v>
      </c>
      <c r="B145" s="9" t="s">
        <v>74</v>
      </c>
      <c r="C145" s="9" t="s">
        <v>597</v>
      </c>
      <c r="D145" s="9">
        <v>20</v>
      </c>
      <c r="E145" s="9" t="s">
        <v>209</v>
      </c>
      <c r="F145" s="9" t="s">
        <v>209</v>
      </c>
      <c r="G145" s="10">
        <v>0.55555555555555558</v>
      </c>
      <c r="H145" s="9" t="s">
        <v>711</v>
      </c>
      <c r="I145" s="9">
        <v>6.3</v>
      </c>
      <c r="J145" s="9" t="s">
        <v>122</v>
      </c>
      <c r="K145" s="9">
        <v>155</v>
      </c>
      <c r="L145" s="9">
        <v>115</v>
      </c>
      <c r="M145" s="9" t="s">
        <v>22</v>
      </c>
      <c r="N145" s="9">
        <v>15</v>
      </c>
      <c r="O145" s="9" t="s">
        <v>23</v>
      </c>
      <c r="P145" s="9" t="s">
        <v>24</v>
      </c>
      <c r="Q145" s="9" t="str">
        <f t="shared" si="28"/>
        <v>Distance</v>
      </c>
      <c r="R145" s="9">
        <f t="shared" si="29"/>
        <v>65.000000000000085</v>
      </c>
      <c r="S145" s="9">
        <f t="shared" si="30"/>
        <v>0</v>
      </c>
      <c r="T145" s="9">
        <f t="shared" si="31"/>
        <v>3.9999999999999858</v>
      </c>
      <c r="U145" s="9">
        <f t="shared" si="41"/>
        <v>41.000000000000014</v>
      </c>
      <c r="V145" s="9">
        <f t="shared" si="32"/>
        <v>12</v>
      </c>
      <c r="W145" s="9" t="str">
        <f t="shared" si="33"/>
        <v>Afternoon</v>
      </c>
      <c r="X145" s="9" t="str">
        <f t="shared" si="34"/>
        <v>Peak</v>
      </c>
      <c r="Y145" s="23">
        <f t="shared" si="35"/>
        <v>0.1536585365853658</v>
      </c>
      <c r="Z145" s="23">
        <f t="shared" si="36"/>
        <v>18.253968253968253</v>
      </c>
      <c r="AA145" s="23">
        <f t="shared" si="37"/>
        <v>0.74193548387096775</v>
      </c>
      <c r="AB145" s="9" t="str">
        <f t="shared" si="38"/>
        <v>Late</v>
      </c>
      <c r="AC145" s="9" t="str">
        <f t="shared" si="39"/>
        <v>No Delay</v>
      </c>
      <c r="AD145" s="64" t="str">
        <f t="shared" si="40"/>
        <v>Long (5+km)</v>
      </c>
    </row>
    <row r="146" spans="1:30" x14ac:dyDescent="0.3">
      <c r="A146" s="8" t="s">
        <v>409</v>
      </c>
      <c r="B146" s="9" t="s">
        <v>210</v>
      </c>
      <c r="C146" s="9" t="s">
        <v>597</v>
      </c>
      <c r="D146" s="9">
        <v>12</v>
      </c>
      <c r="E146" s="9" t="s">
        <v>295</v>
      </c>
      <c r="F146" s="9" t="s">
        <v>655</v>
      </c>
      <c r="G146" s="10">
        <v>0.57638888888888884</v>
      </c>
      <c r="H146" s="9" t="s">
        <v>244</v>
      </c>
      <c r="I146" s="9">
        <v>2.59</v>
      </c>
      <c r="J146" s="9" t="s">
        <v>129</v>
      </c>
      <c r="K146" s="9">
        <v>398</v>
      </c>
      <c r="L146" s="9">
        <v>80</v>
      </c>
      <c r="M146" s="9" t="s">
        <v>22</v>
      </c>
      <c r="N146" s="9">
        <v>15</v>
      </c>
      <c r="O146" s="9" t="s">
        <v>23</v>
      </c>
      <c r="P146" s="9" t="s">
        <v>24</v>
      </c>
      <c r="Q146" s="9" t="str">
        <f t="shared" si="28"/>
        <v>None</v>
      </c>
      <c r="R146" s="9">
        <f t="shared" si="29"/>
        <v>42.000000000000014</v>
      </c>
      <c r="S146" s="9">
        <f t="shared" si="30"/>
        <v>0.99999999999983658</v>
      </c>
      <c r="T146" s="9">
        <f t="shared" si="31"/>
        <v>2.9999999999999893</v>
      </c>
      <c r="U146" s="9">
        <f t="shared" si="41"/>
        <v>26.000000000000068</v>
      </c>
      <c r="V146" s="9">
        <f t="shared" si="32"/>
        <v>13</v>
      </c>
      <c r="W146" s="9" t="str">
        <f t="shared" si="33"/>
        <v>Afternoon</v>
      </c>
      <c r="X146" s="9" t="str">
        <f t="shared" si="34"/>
        <v>Peak</v>
      </c>
      <c r="Y146" s="23">
        <f t="shared" si="35"/>
        <v>9.9615384615384356E-2</v>
      </c>
      <c r="Z146" s="23">
        <f t="shared" si="36"/>
        <v>30.88803088803089</v>
      </c>
      <c r="AA146" s="23">
        <f t="shared" si="37"/>
        <v>0.20100502512562815</v>
      </c>
      <c r="AB146" s="9" t="str">
        <f t="shared" si="38"/>
        <v>On-Time</v>
      </c>
      <c r="AC146" s="9" t="str">
        <f t="shared" si="39"/>
        <v>No Delay</v>
      </c>
      <c r="AD146" s="64" t="str">
        <f t="shared" si="40"/>
        <v>Medium (2-5km)</v>
      </c>
    </row>
    <row r="147" spans="1:30" x14ac:dyDescent="0.3">
      <c r="A147" s="8" t="s">
        <v>411</v>
      </c>
      <c r="B147" s="9" t="s">
        <v>94</v>
      </c>
      <c r="C147" s="9" t="s">
        <v>597</v>
      </c>
      <c r="D147" s="9">
        <v>17</v>
      </c>
      <c r="E147" s="9" t="s">
        <v>113</v>
      </c>
      <c r="F147" s="9" t="s">
        <v>733</v>
      </c>
      <c r="G147" s="10">
        <v>0.60624999999999996</v>
      </c>
      <c r="H147" s="9" t="s">
        <v>403</v>
      </c>
      <c r="I147" s="9">
        <v>3.59</v>
      </c>
      <c r="J147" s="9" t="s">
        <v>21</v>
      </c>
      <c r="K147" s="9">
        <v>252</v>
      </c>
      <c r="L147" s="9">
        <v>83</v>
      </c>
      <c r="M147" s="9" t="s">
        <v>22</v>
      </c>
      <c r="N147" s="9">
        <v>20</v>
      </c>
      <c r="O147" s="9" t="s">
        <v>55</v>
      </c>
      <c r="P147" s="9" t="s">
        <v>24</v>
      </c>
      <c r="Q147" s="9" t="str">
        <f t="shared" si="28"/>
        <v>None</v>
      </c>
      <c r="R147" s="9">
        <f t="shared" si="29"/>
        <v>45</v>
      </c>
      <c r="S147" s="9">
        <f t="shared" si="30"/>
        <v>0.99999999999999645</v>
      </c>
      <c r="T147" s="9">
        <f t="shared" si="31"/>
        <v>3.9999999999999858</v>
      </c>
      <c r="U147" s="9">
        <f t="shared" si="41"/>
        <v>23.000000000000078</v>
      </c>
      <c r="V147" s="9">
        <f t="shared" si="32"/>
        <v>14</v>
      </c>
      <c r="W147" s="9" t="str">
        <f t="shared" si="33"/>
        <v>Afternoon</v>
      </c>
      <c r="X147" s="9" t="str">
        <f t="shared" si="34"/>
        <v>Off-Peak</v>
      </c>
      <c r="Y147" s="23">
        <f t="shared" si="35"/>
        <v>0.1560869565217386</v>
      </c>
      <c r="Z147" s="23">
        <f t="shared" si="36"/>
        <v>23.119777158774376</v>
      </c>
      <c r="AA147" s="23">
        <f t="shared" si="37"/>
        <v>0.32936507936507936</v>
      </c>
      <c r="AB147" s="9" t="str">
        <f t="shared" si="38"/>
        <v>On-Time</v>
      </c>
      <c r="AC147" s="9" t="str">
        <f t="shared" si="39"/>
        <v>No Delay</v>
      </c>
      <c r="AD147" s="64" t="str">
        <f t="shared" si="40"/>
        <v>Medium (2-5km)</v>
      </c>
    </row>
    <row r="148" spans="1:30" x14ac:dyDescent="0.3">
      <c r="A148" s="8" t="s">
        <v>414</v>
      </c>
      <c r="B148" s="9" t="s">
        <v>277</v>
      </c>
      <c r="C148" s="9" t="s">
        <v>597</v>
      </c>
      <c r="D148" s="9">
        <v>14</v>
      </c>
      <c r="E148" s="9" t="s">
        <v>682</v>
      </c>
      <c r="F148" s="9" t="s">
        <v>770</v>
      </c>
      <c r="G148" s="10">
        <v>0.51597222222222228</v>
      </c>
      <c r="H148" s="9" t="s">
        <v>771</v>
      </c>
      <c r="I148" s="9">
        <v>2.0499999999999998</v>
      </c>
      <c r="J148" s="9" t="s">
        <v>28</v>
      </c>
      <c r="K148" s="9">
        <v>354</v>
      </c>
      <c r="L148" s="9">
        <v>71</v>
      </c>
      <c r="M148" s="9" t="s">
        <v>22</v>
      </c>
      <c r="N148" s="9">
        <v>18</v>
      </c>
      <c r="O148" s="9" t="s">
        <v>23</v>
      </c>
      <c r="P148" s="9" t="s">
        <v>24</v>
      </c>
      <c r="Q148" s="9" t="str">
        <f t="shared" si="28"/>
        <v>None</v>
      </c>
      <c r="R148" s="9">
        <f t="shared" si="29"/>
        <v>40.000000000000014</v>
      </c>
      <c r="S148" s="9">
        <f t="shared" si="30"/>
        <v>3.0000000000001492</v>
      </c>
      <c r="T148" s="9">
        <f t="shared" si="31"/>
        <v>2.9999999999999893</v>
      </c>
      <c r="U148" s="9">
        <f t="shared" si="41"/>
        <v>19.999999999999929</v>
      </c>
      <c r="V148" s="9">
        <f t="shared" si="32"/>
        <v>12</v>
      </c>
      <c r="W148" s="9" t="str">
        <f t="shared" si="33"/>
        <v>Afternoon</v>
      </c>
      <c r="X148" s="9" t="str">
        <f t="shared" si="34"/>
        <v>Peak</v>
      </c>
      <c r="Y148" s="23">
        <f t="shared" si="35"/>
        <v>0.10250000000000035</v>
      </c>
      <c r="Z148" s="23">
        <f t="shared" si="36"/>
        <v>34.634146341463421</v>
      </c>
      <c r="AA148" s="23">
        <f t="shared" si="37"/>
        <v>0.20056497175141244</v>
      </c>
      <c r="AB148" s="9" t="str">
        <f t="shared" si="38"/>
        <v>On-Time</v>
      </c>
      <c r="AC148" s="9" t="str">
        <f t="shared" si="39"/>
        <v>No Delay</v>
      </c>
      <c r="AD148" s="64" t="str">
        <f t="shared" si="40"/>
        <v>Medium (2-5km)</v>
      </c>
    </row>
    <row r="149" spans="1:30" x14ac:dyDescent="0.3">
      <c r="A149" s="8" t="s">
        <v>415</v>
      </c>
      <c r="B149" s="9" t="s">
        <v>389</v>
      </c>
      <c r="C149" s="9" t="s">
        <v>597</v>
      </c>
      <c r="D149" s="9">
        <v>17</v>
      </c>
      <c r="E149" s="9" t="s">
        <v>584</v>
      </c>
      <c r="F149" s="9" t="s">
        <v>134</v>
      </c>
      <c r="G149" s="10">
        <v>0.48541666666666666</v>
      </c>
      <c r="H149" s="9" t="s">
        <v>739</v>
      </c>
      <c r="I149" s="9">
        <v>5.67</v>
      </c>
      <c r="J149" s="9" t="s">
        <v>118</v>
      </c>
      <c r="K149" s="9">
        <v>189</v>
      </c>
      <c r="L149" s="9">
        <v>109</v>
      </c>
      <c r="M149" s="9" t="s">
        <v>22</v>
      </c>
      <c r="N149" s="9">
        <v>18</v>
      </c>
      <c r="O149" s="9" t="s">
        <v>23</v>
      </c>
      <c r="P149" s="9" t="s">
        <v>24</v>
      </c>
      <c r="Q149" s="9" t="str">
        <f t="shared" si="28"/>
        <v>None</v>
      </c>
      <c r="R149" s="9">
        <f t="shared" si="29"/>
        <v>62.000000000000021</v>
      </c>
      <c r="S149" s="9">
        <f t="shared" si="30"/>
        <v>1.9999999999999929</v>
      </c>
      <c r="T149" s="9">
        <f t="shared" si="31"/>
        <v>3.9999999999999858</v>
      </c>
      <c r="U149" s="9">
        <f t="shared" si="41"/>
        <v>39.000000000000099</v>
      </c>
      <c r="V149" s="9">
        <f t="shared" si="32"/>
        <v>11</v>
      </c>
      <c r="W149" s="9" t="str">
        <f t="shared" si="33"/>
        <v>Late Morning</v>
      </c>
      <c r="X149" s="9" t="str">
        <f t="shared" si="34"/>
        <v>Off-Peak</v>
      </c>
      <c r="Y149" s="23">
        <f t="shared" si="35"/>
        <v>0.145384615384615</v>
      </c>
      <c r="Z149" s="23">
        <f t="shared" si="36"/>
        <v>19.223985890652557</v>
      </c>
      <c r="AA149" s="23">
        <f t="shared" si="37"/>
        <v>0.57671957671957674</v>
      </c>
      <c r="AB149" s="9" t="str">
        <f t="shared" si="38"/>
        <v>Late</v>
      </c>
      <c r="AC149" s="9" t="str">
        <f t="shared" si="39"/>
        <v>No Delay</v>
      </c>
      <c r="AD149" s="64" t="str">
        <f t="shared" si="40"/>
        <v>Long (5+km)</v>
      </c>
    </row>
    <row r="150" spans="1:30" x14ac:dyDescent="0.3">
      <c r="A150" s="8" t="s">
        <v>419</v>
      </c>
      <c r="B150" s="9" t="s">
        <v>26</v>
      </c>
      <c r="C150" s="9" t="s">
        <v>597</v>
      </c>
      <c r="D150" s="9">
        <v>10</v>
      </c>
      <c r="E150" s="9" t="s">
        <v>192</v>
      </c>
      <c r="F150" s="9" t="s">
        <v>705</v>
      </c>
      <c r="G150" s="10">
        <v>0.50138888888888888</v>
      </c>
      <c r="H150" s="9" t="s">
        <v>746</v>
      </c>
      <c r="I150" s="9">
        <v>6.68</v>
      </c>
      <c r="J150" s="9" t="s">
        <v>28</v>
      </c>
      <c r="K150" s="9">
        <v>250</v>
      </c>
      <c r="L150" s="9">
        <v>119</v>
      </c>
      <c r="M150" s="9" t="s">
        <v>22</v>
      </c>
      <c r="N150" s="9">
        <v>15</v>
      </c>
      <c r="O150" s="9" t="s">
        <v>23</v>
      </c>
      <c r="P150" s="9" t="s">
        <v>24</v>
      </c>
      <c r="Q150" s="9" t="str">
        <f t="shared" si="28"/>
        <v>Distance</v>
      </c>
      <c r="R150" s="9">
        <f t="shared" si="29"/>
        <v>58.99999999999995</v>
      </c>
      <c r="S150" s="9">
        <f t="shared" si="30"/>
        <v>0.99999999999991651</v>
      </c>
      <c r="T150" s="9">
        <f t="shared" si="31"/>
        <v>3.0000000000000693</v>
      </c>
      <c r="U150" s="9">
        <f t="shared" si="41"/>
        <v>45</v>
      </c>
      <c r="V150" s="9">
        <f t="shared" si="32"/>
        <v>11</v>
      </c>
      <c r="W150" s="9" t="str">
        <f t="shared" si="33"/>
        <v>Late Morning</v>
      </c>
      <c r="X150" s="9" t="str">
        <f t="shared" si="34"/>
        <v>Off-Peak</v>
      </c>
      <c r="Y150" s="23">
        <f t="shared" si="35"/>
        <v>0.14844444444444443</v>
      </c>
      <c r="Z150" s="23">
        <f t="shared" si="36"/>
        <v>17.814371257485032</v>
      </c>
      <c r="AA150" s="23">
        <f t="shared" si="37"/>
        <v>0.47599999999999998</v>
      </c>
      <c r="AB150" s="9" t="str">
        <f t="shared" si="38"/>
        <v>Late</v>
      </c>
      <c r="AC150" s="9" t="str">
        <f t="shared" si="39"/>
        <v>No Delay</v>
      </c>
      <c r="AD150" s="64" t="str">
        <f t="shared" si="40"/>
        <v>Long (5+km)</v>
      </c>
    </row>
    <row r="151" spans="1:30" x14ac:dyDescent="0.3">
      <c r="A151" s="8" t="s">
        <v>420</v>
      </c>
      <c r="B151" s="9" t="s">
        <v>772</v>
      </c>
      <c r="C151" s="9" t="s">
        <v>597</v>
      </c>
      <c r="D151" s="9">
        <v>16</v>
      </c>
      <c r="E151" s="9" t="s">
        <v>641</v>
      </c>
      <c r="F151" s="9" t="s">
        <v>685</v>
      </c>
      <c r="G151" s="10">
        <v>0.82638888888888884</v>
      </c>
      <c r="H151" s="9" t="s">
        <v>754</v>
      </c>
      <c r="I151" s="9">
        <v>2.25</v>
      </c>
      <c r="J151" s="9" t="s">
        <v>21</v>
      </c>
      <c r="K151" s="9">
        <v>348</v>
      </c>
      <c r="L151" s="9">
        <v>87</v>
      </c>
      <c r="M151" s="9" t="s">
        <v>22</v>
      </c>
      <c r="N151" s="9">
        <v>9</v>
      </c>
      <c r="O151" s="9" t="s">
        <v>34</v>
      </c>
      <c r="P151" s="9" t="s">
        <v>24</v>
      </c>
      <c r="Q151" s="9" t="str">
        <f t="shared" si="28"/>
        <v>Traffic</v>
      </c>
      <c r="R151" s="9">
        <f t="shared" si="29"/>
        <v>64.000000000000085</v>
      </c>
      <c r="S151" s="9">
        <f t="shared" si="30"/>
        <v>9.9999999999999645</v>
      </c>
      <c r="T151" s="9">
        <f t="shared" si="31"/>
        <v>6.9999999999999751</v>
      </c>
      <c r="U151" s="9">
        <f t="shared" si="41"/>
        <v>31.00000000000021</v>
      </c>
      <c r="V151" s="9">
        <f t="shared" si="32"/>
        <v>19</v>
      </c>
      <c r="W151" s="9" t="str">
        <f t="shared" si="33"/>
        <v>Peak Night</v>
      </c>
      <c r="X151" s="9" t="str">
        <f t="shared" si="34"/>
        <v>Peak</v>
      </c>
      <c r="Y151" s="23">
        <f t="shared" si="35"/>
        <v>7.2580645161289828E-2</v>
      </c>
      <c r="Z151" s="23">
        <f t="shared" si="36"/>
        <v>38.666666666666664</v>
      </c>
      <c r="AA151" s="23">
        <f t="shared" si="37"/>
        <v>0.25</v>
      </c>
      <c r="AB151" s="9" t="str">
        <f t="shared" si="38"/>
        <v>Late</v>
      </c>
      <c r="AC151" s="9" t="str">
        <f t="shared" si="39"/>
        <v>No Delay</v>
      </c>
      <c r="AD151" s="64" t="str">
        <f t="shared" si="40"/>
        <v>Medium (2-5km)</v>
      </c>
    </row>
    <row r="152" spans="1:30" x14ac:dyDescent="0.3">
      <c r="A152" s="8" t="s">
        <v>421</v>
      </c>
      <c r="B152" s="9" t="s">
        <v>89</v>
      </c>
      <c r="C152" s="9" t="s">
        <v>597</v>
      </c>
      <c r="D152" s="9">
        <v>12</v>
      </c>
      <c r="E152" s="9" t="s">
        <v>685</v>
      </c>
      <c r="F152" s="9" t="s">
        <v>560</v>
      </c>
      <c r="G152" s="10">
        <v>0.82847222222222228</v>
      </c>
      <c r="H152" s="9" t="s">
        <v>604</v>
      </c>
      <c r="I152" s="9">
        <v>1.1499999999999999</v>
      </c>
      <c r="J152" s="9" t="s">
        <v>99</v>
      </c>
      <c r="K152" s="9">
        <v>353</v>
      </c>
      <c r="L152" s="9">
        <v>75</v>
      </c>
      <c r="M152" s="9" t="s">
        <v>22</v>
      </c>
      <c r="N152" s="9">
        <v>11</v>
      </c>
      <c r="O152" s="9" t="s">
        <v>34</v>
      </c>
      <c r="P152" s="9" t="s">
        <v>24</v>
      </c>
      <c r="Q152" s="9" t="str">
        <f t="shared" si="28"/>
        <v>Traffic</v>
      </c>
      <c r="R152" s="9">
        <f t="shared" si="29"/>
        <v>44</v>
      </c>
      <c r="S152" s="9">
        <f t="shared" si="30"/>
        <v>1.0000000000001563</v>
      </c>
      <c r="T152" s="9">
        <f t="shared" si="31"/>
        <v>8.999999999999968</v>
      </c>
      <c r="U152" s="9">
        <f t="shared" si="41"/>
        <v>21.999999999999922</v>
      </c>
      <c r="V152" s="9">
        <f t="shared" si="32"/>
        <v>19</v>
      </c>
      <c r="W152" s="9" t="str">
        <f t="shared" si="33"/>
        <v>Peak Night</v>
      </c>
      <c r="X152" s="9" t="str">
        <f t="shared" si="34"/>
        <v>Peak</v>
      </c>
      <c r="Y152" s="23">
        <f t="shared" si="35"/>
        <v>5.2272727272727457E-2</v>
      </c>
      <c r="Z152" s="23">
        <f t="shared" si="36"/>
        <v>65.217391304347828</v>
      </c>
      <c r="AA152" s="23">
        <f t="shared" si="37"/>
        <v>0.21246458923512748</v>
      </c>
      <c r="AB152" s="9" t="str">
        <f t="shared" si="38"/>
        <v>On-Time</v>
      </c>
      <c r="AC152" s="9" t="str">
        <f t="shared" si="39"/>
        <v>No Delay</v>
      </c>
      <c r="AD152" s="64" t="str">
        <f t="shared" si="40"/>
        <v>Short (0-2km)</v>
      </c>
    </row>
    <row r="153" spans="1:30" x14ac:dyDescent="0.3">
      <c r="A153" s="8" t="s">
        <v>424</v>
      </c>
      <c r="B153" s="9" t="s">
        <v>666</v>
      </c>
      <c r="C153" s="9" t="s">
        <v>597</v>
      </c>
      <c r="D153" s="9">
        <v>18</v>
      </c>
      <c r="E153" s="9" t="s">
        <v>665</v>
      </c>
      <c r="F153" s="9" t="s">
        <v>665</v>
      </c>
      <c r="G153" s="10">
        <v>0.79791666666666672</v>
      </c>
      <c r="H153" s="9" t="s">
        <v>32</v>
      </c>
      <c r="I153" s="9">
        <v>5.57</v>
      </c>
      <c r="J153" s="9" t="s">
        <v>76</v>
      </c>
      <c r="K153" s="9">
        <v>349</v>
      </c>
      <c r="L153" s="9">
        <v>109</v>
      </c>
      <c r="M153" s="9" t="s">
        <v>22</v>
      </c>
      <c r="N153" s="9">
        <v>17</v>
      </c>
      <c r="O153" s="9" t="s">
        <v>23</v>
      </c>
      <c r="P153" s="9" t="s">
        <v>24</v>
      </c>
      <c r="Q153" s="9" t="str">
        <f t="shared" si="28"/>
        <v>None</v>
      </c>
      <c r="R153" s="9">
        <f t="shared" si="29"/>
        <v>60.999999999999943</v>
      </c>
      <c r="S153" s="9">
        <f t="shared" si="30"/>
        <v>0</v>
      </c>
      <c r="T153" s="9">
        <f t="shared" si="31"/>
        <v>2.9999999999999893</v>
      </c>
      <c r="U153" s="9">
        <f t="shared" si="41"/>
        <v>39.999999999999858</v>
      </c>
      <c r="V153" s="9">
        <f t="shared" si="32"/>
        <v>18</v>
      </c>
      <c r="W153" s="9" t="str">
        <f t="shared" si="33"/>
        <v>Peak Night</v>
      </c>
      <c r="X153" s="9" t="str">
        <f t="shared" si="34"/>
        <v>Peak</v>
      </c>
      <c r="Y153" s="23">
        <f t="shared" si="35"/>
        <v>0.13925000000000051</v>
      </c>
      <c r="Z153" s="23">
        <f t="shared" si="36"/>
        <v>19.569120287253142</v>
      </c>
      <c r="AA153" s="23">
        <f t="shared" si="37"/>
        <v>0.31232091690544411</v>
      </c>
      <c r="AB153" s="9" t="str">
        <f t="shared" si="38"/>
        <v>Late</v>
      </c>
      <c r="AC153" s="9" t="str">
        <f t="shared" si="39"/>
        <v>No Delay</v>
      </c>
      <c r="AD153" s="64" t="str">
        <f t="shared" si="40"/>
        <v>Long (5+km)</v>
      </c>
    </row>
    <row r="154" spans="1:30" x14ac:dyDescent="0.3">
      <c r="A154" s="8" t="s">
        <v>426</v>
      </c>
      <c r="B154" s="9" t="s">
        <v>709</v>
      </c>
      <c r="C154" s="9" t="s">
        <v>597</v>
      </c>
      <c r="D154" s="9">
        <v>10</v>
      </c>
      <c r="E154" s="9" t="s">
        <v>105</v>
      </c>
      <c r="F154" s="9" t="s">
        <v>194</v>
      </c>
      <c r="G154" s="10">
        <v>0.51041666666666663</v>
      </c>
      <c r="H154" s="9" t="s">
        <v>489</v>
      </c>
      <c r="I154" s="9">
        <v>4.92</v>
      </c>
      <c r="J154" s="9" t="s">
        <v>28</v>
      </c>
      <c r="K154" s="9">
        <v>211</v>
      </c>
      <c r="L154" s="9">
        <v>99</v>
      </c>
      <c r="M154" s="9" t="s">
        <v>77</v>
      </c>
      <c r="N154" s="9">
        <v>15</v>
      </c>
      <c r="O154" s="9" t="s">
        <v>23</v>
      </c>
      <c r="P154" s="9" t="s">
        <v>78</v>
      </c>
      <c r="Q154" s="9" t="str">
        <f t="shared" si="28"/>
        <v>Restaurant Delay</v>
      </c>
      <c r="R154" s="9">
        <f t="shared" si="29"/>
        <v>48.999999999999986</v>
      </c>
      <c r="S154" s="9">
        <f t="shared" si="30"/>
        <v>2.9999999999999893</v>
      </c>
      <c r="T154" s="9">
        <f t="shared" si="31"/>
        <v>0.99999999999999645</v>
      </c>
      <c r="U154" s="9">
        <f t="shared" si="41"/>
        <v>35.000000000000036</v>
      </c>
      <c r="V154" s="9">
        <f t="shared" si="32"/>
        <v>12</v>
      </c>
      <c r="W154" s="9" t="str">
        <f t="shared" si="33"/>
        <v>Afternoon</v>
      </c>
      <c r="X154" s="9" t="str">
        <f t="shared" si="34"/>
        <v>Peak</v>
      </c>
      <c r="Y154" s="23">
        <f t="shared" si="35"/>
        <v>0.14057142857142843</v>
      </c>
      <c r="Z154" s="23">
        <f t="shared" si="36"/>
        <v>20.121951219512194</v>
      </c>
      <c r="AA154" s="23">
        <f t="shared" si="37"/>
        <v>0.46919431279620855</v>
      </c>
      <c r="AB154" s="9" t="str">
        <f t="shared" si="38"/>
        <v>Late</v>
      </c>
      <c r="AC154" s="9" t="str">
        <f t="shared" si="39"/>
        <v>Restaurant Delay</v>
      </c>
      <c r="AD154" s="64" t="str">
        <f t="shared" si="40"/>
        <v>Medium (2-5km)</v>
      </c>
    </row>
    <row r="155" spans="1:30" x14ac:dyDescent="0.3">
      <c r="A155" s="8" t="s">
        <v>428</v>
      </c>
      <c r="B155" s="9" t="s">
        <v>751</v>
      </c>
      <c r="C155" s="9" t="s">
        <v>597</v>
      </c>
      <c r="D155" s="9">
        <v>14</v>
      </c>
      <c r="E155" s="9" t="s">
        <v>774</v>
      </c>
      <c r="F155" s="9" t="s">
        <v>690</v>
      </c>
      <c r="G155" s="10">
        <v>0.44374999999999998</v>
      </c>
      <c r="H155" s="9" t="s">
        <v>315</v>
      </c>
      <c r="I155" s="9">
        <v>6.06</v>
      </c>
      <c r="J155" s="9" t="s">
        <v>129</v>
      </c>
      <c r="K155" s="9">
        <v>293</v>
      </c>
      <c r="L155" s="9">
        <v>112</v>
      </c>
      <c r="M155" s="9" t="s">
        <v>22</v>
      </c>
      <c r="N155" s="9">
        <v>15</v>
      </c>
      <c r="O155" s="9" t="s">
        <v>23</v>
      </c>
      <c r="P155" s="9" t="s">
        <v>24</v>
      </c>
      <c r="Q155" s="9" t="str">
        <f t="shared" si="28"/>
        <v>Distance</v>
      </c>
      <c r="R155" s="9">
        <f t="shared" si="29"/>
        <v>59.000000000000114</v>
      </c>
      <c r="S155" s="9">
        <f t="shared" si="30"/>
        <v>0.99999999999991651</v>
      </c>
      <c r="T155" s="9">
        <f t="shared" si="31"/>
        <v>2.9999999999999893</v>
      </c>
      <c r="U155" s="9">
        <f t="shared" si="41"/>
        <v>41.000000000000092</v>
      </c>
      <c r="V155" s="9">
        <f t="shared" si="32"/>
        <v>10</v>
      </c>
      <c r="W155" s="9" t="str">
        <f t="shared" si="33"/>
        <v>Late Morning</v>
      </c>
      <c r="X155" s="9" t="str">
        <f t="shared" si="34"/>
        <v>Off-Peak</v>
      </c>
      <c r="Y155" s="23">
        <f t="shared" si="35"/>
        <v>0.14780487804878015</v>
      </c>
      <c r="Z155" s="23">
        <f t="shared" si="36"/>
        <v>18.481848184818482</v>
      </c>
      <c r="AA155" s="23">
        <f t="shared" si="37"/>
        <v>0.38225255972696248</v>
      </c>
      <c r="AB155" s="9" t="str">
        <f t="shared" si="38"/>
        <v>Late</v>
      </c>
      <c r="AC155" s="9" t="str">
        <f t="shared" si="39"/>
        <v>No Delay</v>
      </c>
      <c r="AD155" s="64" t="str">
        <f t="shared" si="40"/>
        <v>Long (5+km)</v>
      </c>
    </row>
    <row r="156" spans="1:30" x14ac:dyDescent="0.3">
      <c r="A156" s="8" t="s">
        <v>430</v>
      </c>
      <c r="B156" s="9" t="s">
        <v>338</v>
      </c>
      <c r="C156" s="9" t="s">
        <v>597</v>
      </c>
      <c r="D156" s="9">
        <v>18</v>
      </c>
      <c r="E156" s="9" t="s">
        <v>109</v>
      </c>
      <c r="F156" s="9" t="s">
        <v>239</v>
      </c>
      <c r="G156" s="10">
        <v>0.8159722222222221</v>
      </c>
      <c r="H156" s="9" t="s">
        <v>308</v>
      </c>
      <c r="I156" s="9">
        <v>2.17</v>
      </c>
      <c r="J156" s="9" t="s">
        <v>45</v>
      </c>
      <c r="K156" s="9">
        <v>356</v>
      </c>
      <c r="L156" s="9">
        <v>84</v>
      </c>
      <c r="M156" s="9" t="s">
        <v>22</v>
      </c>
      <c r="N156" s="9">
        <v>11</v>
      </c>
      <c r="O156" s="9" t="s">
        <v>34</v>
      </c>
      <c r="P156" s="9" t="s">
        <v>24</v>
      </c>
      <c r="Q156" s="9" t="str">
        <f t="shared" si="28"/>
        <v>Traffic</v>
      </c>
      <c r="R156" s="9">
        <f t="shared" si="29"/>
        <v>55.999999999999957</v>
      </c>
      <c r="S156" s="9">
        <f t="shared" si="30"/>
        <v>2.9999999999998295</v>
      </c>
      <c r="T156" s="9">
        <f t="shared" si="31"/>
        <v>6.9999999999999751</v>
      </c>
      <c r="U156" s="9">
        <f t="shared" si="41"/>
        <v>28.00000000000022</v>
      </c>
      <c r="V156" s="9">
        <f t="shared" si="32"/>
        <v>19</v>
      </c>
      <c r="W156" s="9" t="str">
        <f t="shared" si="33"/>
        <v>Peak Night</v>
      </c>
      <c r="X156" s="9" t="str">
        <f t="shared" si="34"/>
        <v>Peak</v>
      </c>
      <c r="Y156" s="23">
        <f t="shared" si="35"/>
        <v>7.7499999999999389E-2</v>
      </c>
      <c r="Z156" s="23">
        <f t="shared" si="36"/>
        <v>38.70967741935484</v>
      </c>
      <c r="AA156" s="23">
        <f t="shared" si="37"/>
        <v>0.23595505617977527</v>
      </c>
      <c r="AB156" s="9" t="str">
        <f t="shared" si="38"/>
        <v>Late</v>
      </c>
      <c r="AC156" s="9" t="str">
        <f t="shared" si="39"/>
        <v>No Delay</v>
      </c>
      <c r="AD156" s="64" t="str">
        <f t="shared" si="40"/>
        <v>Medium (2-5km)</v>
      </c>
    </row>
    <row r="157" spans="1:30" x14ac:dyDescent="0.3">
      <c r="A157" s="8" t="s">
        <v>434</v>
      </c>
      <c r="B157" s="9" t="s">
        <v>569</v>
      </c>
      <c r="C157" s="9" t="s">
        <v>597</v>
      </c>
      <c r="D157" s="9">
        <v>15</v>
      </c>
      <c r="E157" s="9" t="s">
        <v>218</v>
      </c>
      <c r="F157" s="9" t="s">
        <v>320</v>
      </c>
      <c r="G157" s="10">
        <v>0.78194444444444433</v>
      </c>
      <c r="H157" s="9" t="s">
        <v>396</v>
      </c>
      <c r="I157" s="9">
        <v>4.97</v>
      </c>
      <c r="J157" s="9" t="s">
        <v>62</v>
      </c>
      <c r="K157" s="9">
        <v>309</v>
      </c>
      <c r="L157" s="9">
        <v>101</v>
      </c>
      <c r="M157" s="9" t="s">
        <v>22</v>
      </c>
      <c r="N157" s="9">
        <v>13</v>
      </c>
      <c r="O157" s="9" t="s">
        <v>23</v>
      </c>
      <c r="P157" s="9" t="s">
        <v>24</v>
      </c>
      <c r="Q157" s="9" t="str">
        <f t="shared" si="28"/>
        <v>None</v>
      </c>
      <c r="R157" s="9">
        <f t="shared" si="29"/>
        <v>54.000000000000128</v>
      </c>
      <c r="S157" s="9">
        <f t="shared" si="30"/>
        <v>0.99999999999983658</v>
      </c>
      <c r="T157" s="9">
        <f t="shared" si="31"/>
        <v>2.9999999999999893</v>
      </c>
      <c r="U157" s="9">
        <f t="shared" si="41"/>
        <v>35.000000000000199</v>
      </c>
      <c r="V157" s="9">
        <f t="shared" si="32"/>
        <v>18</v>
      </c>
      <c r="W157" s="9" t="str">
        <f t="shared" si="33"/>
        <v>Peak Night</v>
      </c>
      <c r="X157" s="9" t="str">
        <f t="shared" si="34"/>
        <v>Peak</v>
      </c>
      <c r="Y157" s="23">
        <f t="shared" si="35"/>
        <v>0.14199999999999918</v>
      </c>
      <c r="Z157" s="23">
        <f t="shared" si="36"/>
        <v>20.321931589537225</v>
      </c>
      <c r="AA157" s="23">
        <f t="shared" si="37"/>
        <v>0.32686084142394822</v>
      </c>
      <c r="AB157" s="9" t="str">
        <f t="shared" si="38"/>
        <v>Late</v>
      </c>
      <c r="AC157" s="9" t="str">
        <f t="shared" si="39"/>
        <v>No Delay</v>
      </c>
      <c r="AD157" s="64" t="str">
        <f t="shared" si="40"/>
        <v>Medium (2-5km)</v>
      </c>
    </row>
    <row r="158" spans="1:30" x14ac:dyDescent="0.3">
      <c r="A158" s="8" t="s">
        <v>436</v>
      </c>
      <c r="B158" s="9" t="s">
        <v>696</v>
      </c>
      <c r="C158" s="9" t="s">
        <v>597</v>
      </c>
      <c r="D158" s="9">
        <v>12</v>
      </c>
      <c r="E158" s="9" t="s">
        <v>768</v>
      </c>
      <c r="F158" s="9" t="s">
        <v>675</v>
      </c>
      <c r="G158" s="10">
        <v>0.68680555555555545</v>
      </c>
      <c r="H158" s="9" t="s">
        <v>698</v>
      </c>
      <c r="I158" s="9">
        <v>2.77</v>
      </c>
      <c r="J158" s="9" t="s">
        <v>28</v>
      </c>
      <c r="K158" s="9">
        <v>269</v>
      </c>
      <c r="L158" s="9">
        <v>74</v>
      </c>
      <c r="M158" s="9" t="s">
        <v>22</v>
      </c>
      <c r="N158" s="9">
        <v>17</v>
      </c>
      <c r="O158" s="9" t="s">
        <v>55</v>
      </c>
      <c r="P158" s="9" t="s">
        <v>24</v>
      </c>
      <c r="Q158" s="9" t="str">
        <f t="shared" si="28"/>
        <v>None</v>
      </c>
      <c r="R158" s="9">
        <f t="shared" si="29"/>
        <v>37.000000000000028</v>
      </c>
      <c r="S158" s="9">
        <f t="shared" si="30"/>
        <v>2.9999999999998295</v>
      </c>
      <c r="T158" s="9">
        <f t="shared" si="31"/>
        <v>4.9999999999999822</v>
      </c>
      <c r="U158" s="9">
        <f t="shared" si="41"/>
        <v>17.000000000000099</v>
      </c>
      <c r="V158" s="9">
        <f t="shared" si="32"/>
        <v>16</v>
      </c>
      <c r="W158" s="9" t="str">
        <f t="shared" si="33"/>
        <v>Evening</v>
      </c>
      <c r="X158" s="9" t="str">
        <f t="shared" si="34"/>
        <v>Off-Peak</v>
      </c>
      <c r="Y158" s="23">
        <f t="shared" si="35"/>
        <v>0.16294117647058728</v>
      </c>
      <c r="Z158" s="23">
        <f t="shared" si="36"/>
        <v>26.714801444043321</v>
      </c>
      <c r="AA158" s="23">
        <f t="shared" si="37"/>
        <v>0.27509293680297398</v>
      </c>
      <c r="AB158" s="9" t="str">
        <f t="shared" si="38"/>
        <v>On-Time</v>
      </c>
      <c r="AC158" s="9" t="str">
        <f t="shared" si="39"/>
        <v>No Delay</v>
      </c>
      <c r="AD158" s="64" t="str">
        <f t="shared" si="40"/>
        <v>Medium (2-5km)</v>
      </c>
    </row>
    <row r="159" spans="1:30" x14ac:dyDescent="0.3">
      <c r="A159" s="8" t="s">
        <v>437</v>
      </c>
      <c r="B159" s="9" t="s">
        <v>324</v>
      </c>
      <c r="C159" s="9" t="s">
        <v>597</v>
      </c>
      <c r="D159" s="9">
        <v>14</v>
      </c>
      <c r="E159" s="9" t="s">
        <v>273</v>
      </c>
      <c r="F159" s="9" t="s">
        <v>746</v>
      </c>
      <c r="G159" s="10">
        <v>0.53611111111111109</v>
      </c>
      <c r="H159" s="9" t="s">
        <v>449</v>
      </c>
      <c r="I159" s="9">
        <v>1.49</v>
      </c>
      <c r="J159" s="9" t="s">
        <v>160</v>
      </c>
      <c r="K159" s="9">
        <v>333</v>
      </c>
      <c r="L159" s="9">
        <v>65</v>
      </c>
      <c r="M159" s="9" t="s">
        <v>22</v>
      </c>
      <c r="N159" s="9">
        <v>13</v>
      </c>
      <c r="O159" s="9" t="s">
        <v>23</v>
      </c>
      <c r="P159" s="9" t="s">
        <v>24</v>
      </c>
      <c r="Q159" s="9" t="str">
        <f t="shared" si="28"/>
        <v>None</v>
      </c>
      <c r="R159" s="9">
        <f t="shared" si="29"/>
        <v>35.000000000000036</v>
      </c>
      <c r="S159" s="9">
        <f t="shared" si="30"/>
        <v>0.99999999999999645</v>
      </c>
      <c r="T159" s="9">
        <f t="shared" si="31"/>
        <v>4.9999999999999822</v>
      </c>
      <c r="U159" s="9">
        <f t="shared" si="41"/>
        <v>15.000000000000107</v>
      </c>
      <c r="V159" s="9">
        <f t="shared" si="32"/>
        <v>12</v>
      </c>
      <c r="W159" s="9" t="str">
        <f t="shared" si="33"/>
        <v>Afternoon</v>
      </c>
      <c r="X159" s="9" t="str">
        <f t="shared" si="34"/>
        <v>Peak</v>
      </c>
      <c r="Y159" s="23">
        <f t="shared" si="35"/>
        <v>9.9333333333332621E-2</v>
      </c>
      <c r="Z159" s="23">
        <f t="shared" si="36"/>
        <v>43.624161073825505</v>
      </c>
      <c r="AA159" s="23">
        <f t="shared" si="37"/>
        <v>0.19519519519519518</v>
      </c>
      <c r="AB159" s="9" t="str">
        <f t="shared" si="38"/>
        <v>On-Time</v>
      </c>
      <c r="AC159" s="9" t="str">
        <f t="shared" si="39"/>
        <v>No Delay</v>
      </c>
      <c r="AD159" s="64" t="str">
        <f t="shared" si="40"/>
        <v>Short (0-2km)</v>
      </c>
    </row>
    <row r="160" spans="1:30" x14ac:dyDescent="0.3">
      <c r="A160" s="8" t="s">
        <v>439</v>
      </c>
      <c r="B160" s="9" t="s">
        <v>140</v>
      </c>
      <c r="C160" s="9" t="s">
        <v>594</v>
      </c>
      <c r="D160" s="9">
        <v>39</v>
      </c>
      <c r="E160" s="9" t="s">
        <v>762</v>
      </c>
      <c r="F160" s="9" t="s">
        <v>628</v>
      </c>
      <c r="G160" s="10">
        <v>0.86180555555555549</v>
      </c>
      <c r="H160" s="9" t="s">
        <v>639</v>
      </c>
      <c r="I160" s="9">
        <v>1.58</v>
      </c>
      <c r="J160" s="9" t="s">
        <v>99</v>
      </c>
      <c r="K160" s="9">
        <v>320</v>
      </c>
      <c r="L160" s="9">
        <v>73</v>
      </c>
      <c r="M160" s="9" t="s">
        <v>22</v>
      </c>
      <c r="N160" s="9">
        <v>11</v>
      </c>
      <c r="O160" s="9" t="s">
        <v>34</v>
      </c>
      <c r="P160" s="9" t="s">
        <v>24</v>
      </c>
      <c r="Q160" s="9" t="str">
        <f t="shared" si="28"/>
        <v>Traffic</v>
      </c>
      <c r="R160" s="9">
        <f t="shared" si="29"/>
        <v>71.000000000000071</v>
      </c>
      <c r="S160" s="9">
        <f t="shared" si="30"/>
        <v>4.9999999999999822</v>
      </c>
      <c r="T160" s="9">
        <f t="shared" si="31"/>
        <v>5.9999999999999787</v>
      </c>
      <c r="U160" s="9">
        <f t="shared" si="41"/>
        <v>21.000000000000245</v>
      </c>
      <c r="V160" s="9">
        <f t="shared" si="32"/>
        <v>19</v>
      </c>
      <c r="W160" s="9" t="str">
        <f t="shared" si="33"/>
        <v>Peak Night</v>
      </c>
      <c r="X160" s="9" t="str">
        <f t="shared" si="34"/>
        <v>Peak</v>
      </c>
      <c r="Y160" s="23">
        <f t="shared" si="35"/>
        <v>7.5238095238094368E-2</v>
      </c>
      <c r="Z160" s="23">
        <f t="shared" si="36"/>
        <v>46.202531645569621</v>
      </c>
      <c r="AA160" s="23">
        <f t="shared" si="37"/>
        <v>0.22812499999999999</v>
      </c>
      <c r="AB160" s="9" t="str">
        <f t="shared" si="38"/>
        <v>Late</v>
      </c>
      <c r="AC160" s="9" t="str">
        <f t="shared" si="39"/>
        <v>No Delay</v>
      </c>
      <c r="AD160" s="64" t="str">
        <f t="shared" si="40"/>
        <v>Short (0-2km)</v>
      </c>
    </row>
    <row r="161" spans="1:30" x14ac:dyDescent="0.3">
      <c r="A161" s="8" t="s">
        <v>440</v>
      </c>
      <c r="B161" s="9" t="s">
        <v>776</v>
      </c>
      <c r="C161" s="9" t="s">
        <v>597</v>
      </c>
      <c r="D161" s="9">
        <v>16</v>
      </c>
      <c r="E161" s="9" t="s">
        <v>305</v>
      </c>
      <c r="F161" s="9" t="s">
        <v>777</v>
      </c>
      <c r="G161" s="10">
        <v>0.45208333333333334</v>
      </c>
      <c r="H161" s="9" t="s">
        <v>57</v>
      </c>
      <c r="I161" s="9">
        <v>1.96</v>
      </c>
      <c r="J161" s="9" t="s">
        <v>62</v>
      </c>
      <c r="K161" s="9">
        <v>289</v>
      </c>
      <c r="L161" s="9">
        <v>74</v>
      </c>
      <c r="M161" s="9" t="s">
        <v>22</v>
      </c>
      <c r="N161" s="9">
        <v>15</v>
      </c>
      <c r="O161" s="9" t="s">
        <v>23</v>
      </c>
      <c r="P161" s="9" t="s">
        <v>24</v>
      </c>
      <c r="Q161" s="9" t="str">
        <f t="shared" si="28"/>
        <v>None</v>
      </c>
      <c r="R161" s="9">
        <f t="shared" si="29"/>
        <v>43.000000000000007</v>
      </c>
      <c r="S161" s="9">
        <f t="shared" si="30"/>
        <v>0.99999999999999645</v>
      </c>
      <c r="T161" s="9">
        <f t="shared" si="31"/>
        <v>3.9999999999999858</v>
      </c>
      <c r="U161" s="9">
        <f t="shared" si="41"/>
        <v>22</v>
      </c>
      <c r="V161" s="9">
        <f t="shared" si="32"/>
        <v>10</v>
      </c>
      <c r="W161" s="9" t="str">
        <f t="shared" si="33"/>
        <v>Late Morning</v>
      </c>
      <c r="X161" s="9" t="str">
        <f t="shared" si="34"/>
        <v>Off-Peak</v>
      </c>
      <c r="Y161" s="23">
        <f t="shared" si="35"/>
        <v>8.9090909090909096E-2</v>
      </c>
      <c r="Z161" s="23">
        <f t="shared" si="36"/>
        <v>37.755102040816325</v>
      </c>
      <c r="AA161" s="23">
        <f t="shared" si="37"/>
        <v>0.25605536332179929</v>
      </c>
      <c r="AB161" s="9" t="str">
        <f t="shared" si="38"/>
        <v>On-Time</v>
      </c>
      <c r="AC161" s="9" t="str">
        <f t="shared" si="39"/>
        <v>No Delay</v>
      </c>
      <c r="AD161" s="64" t="str">
        <f t="shared" si="40"/>
        <v>Short (0-2km)</v>
      </c>
    </row>
    <row r="162" spans="1:30" x14ac:dyDescent="0.3">
      <c r="A162" s="8" t="s">
        <v>441</v>
      </c>
      <c r="B162" s="9" t="s">
        <v>299</v>
      </c>
      <c r="C162" s="9" t="s">
        <v>597</v>
      </c>
      <c r="D162" s="9">
        <v>12</v>
      </c>
      <c r="E162" s="9" t="s">
        <v>778</v>
      </c>
      <c r="F162" s="9" t="s">
        <v>614</v>
      </c>
      <c r="G162" s="10">
        <v>0.6</v>
      </c>
      <c r="H162" s="9" t="s">
        <v>511</v>
      </c>
      <c r="I162" s="9">
        <v>5.63</v>
      </c>
      <c r="J162" s="9" t="s">
        <v>33</v>
      </c>
      <c r="K162" s="9">
        <v>364</v>
      </c>
      <c r="L162" s="9">
        <v>102</v>
      </c>
      <c r="M162" s="9" t="s">
        <v>22</v>
      </c>
      <c r="N162" s="9">
        <v>17</v>
      </c>
      <c r="O162" s="9" t="s">
        <v>55</v>
      </c>
      <c r="P162" s="9" t="s">
        <v>24</v>
      </c>
      <c r="Q162" s="9" t="str">
        <f t="shared" si="28"/>
        <v>None</v>
      </c>
      <c r="R162" s="9">
        <f t="shared" si="29"/>
        <v>50.999999999999979</v>
      </c>
      <c r="S162" s="9">
        <f t="shared" si="30"/>
        <v>2.9999999999999893</v>
      </c>
      <c r="T162" s="9">
        <f t="shared" si="31"/>
        <v>1.9999999999999929</v>
      </c>
      <c r="U162" s="9">
        <f t="shared" si="41"/>
        <v>34.000000000000043</v>
      </c>
      <c r="V162" s="9">
        <f t="shared" si="32"/>
        <v>14</v>
      </c>
      <c r="W162" s="9" t="str">
        <f t="shared" si="33"/>
        <v>Afternoon</v>
      </c>
      <c r="X162" s="9" t="str">
        <f t="shared" si="34"/>
        <v>Off-Peak</v>
      </c>
      <c r="Y162" s="23">
        <f t="shared" si="35"/>
        <v>0.16558823529411743</v>
      </c>
      <c r="Z162" s="23">
        <f t="shared" si="36"/>
        <v>18.117229129662523</v>
      </c>
      <c r="AA162" s="23">
        <f t="shared" si="37"/>
        <v>0.28021978021978022</v>
      </c>
      <c r="AB162" s="9" t="str">
        <f t="shared" si="38"/>
        <v>Late</v>
      </c>
      <c r="AC162" s="9" t="str">
        <f t="shared" si="39"/>
        <v>No Delay</v>
      </c>
      <c r="AD162" s="64" t="str">
        <f t="shared" si="40"/>
        <v>Long (5+km)</v>
      </c>
    </row>
    <row r="163" spans="1:30" x14ac:dyDescent="0.3">
      <c r="A163" s="8" t="s">
        <v>443</v>
      </c>
      <c r="B163" s="9" t="s">
        <v>225</v>
      </c>
      <c r="C163" s="9" t="s">
        <v>597</v>
      </c>
      <c r="D163" s="9">
        <v>12</v>
      </c>
      <c r="E163" s="9" t="s">
        <v>253</v>
      </c>
      <c r="F163" s="9" t="s">
        <v>253</v>
      </c>
      <c r="G163" s="10">
        <v>0.58750000000000002</v>
      </c>
      <c r="H163" s="9" t="s">
        <v>114</v>
      </c>
      <c r="I163" s="9">
        <v>4.75</v>
      </c>
      <c r="J163" s="9" t="s">
        <v>45</v>
      </c>
      <c r="K163" s="9">
        <v>226</v>
      </c>
      <c r="L163" s="9">
        <v>100</v>
      </c>
      <c r="M163" s="9" t="s">
        <v>22</v>
      </c>
      <c r="N163" s="9">
        <v>14</v>
      </c>
      <c r="O163" s="9" t="s">
        <v>23</v>
      </c>
      <c r="P163" s="9" t="s">
        <v>24</v>
      </c>
      <c r="Q163" s="9" t="str">
        <f t="shared" si="28"/>
        <v>None</v>
      </c>
      <c r="R163" s="9">
        <f t="shared" si="29"/>
        <v>49.999999999999822</v>
      </c>
      <c r="S163" s="9">
        <f t="shared" si="30"/>
        <v>0</v>
      </c>
      <c r="T163" s="9">
        <f t="shared" si="31"/>
        <v>3.9999999999999858</v>
      </c>
      <c r="U163" s="9">
        <f t="shared" si="41"/>
        <v>33.999999999999879</v>
      </c>
      <c r="V163" s="9">
        <f t="shared" si="32"/>
        <v>13</v>
      </c>
      <c r="W163" s="9" t="str">
        <f t="shared" si="33"/>
        <v>Afternoon</v>
      </c>
      <c r="X163" s="9" t="str">
        <f t="shared" si="34"/>
        <v>Peak</v>
      </c>
      <c r="Y163" s="23">
        <f t="shared" si="35"/>
        <v>0.13970588235294168</v>
      </c>
      <c r="Z163" s="23">
        <f t="shared" si="36"/>
        <v>21.05263157894737</v>
      </c>
      <c r="AA163" s="23">
        <f t="shared" si="37"/>
        <v>0.44247787610619471</v>
      </c>
      <c r="AB163" s="9" t="str">
        <f t="shared" si="38"/>
        <v>Late</v>
      </c>
      <c r="AC163" s="9" t="str">
        <f t="shared" si="39"/>
        <v>No Delay</v>
      </c>
      <c r="AD163" s="64" t="str">
        <f t="shared" si="40"/>
        <v>Medium (2-5km)</v>
      </c>
    </row>
    <row r="164" spans="1:30" x14ac:dyDescent="0.3">
      <c r="A164" s="8" t="s">
        <v>444</v>
      </c>
      <c r="B164" s="9" t="s">
        <v>501</v>
      </c>
      <c r="C164" s="9" t="s">
        <v>594</v>
      </c>
      <c r="D164" s="9">
        <v>28</v>
      </c>
      <c r="E164" s="9" t="s">
        <v>365</v>
      </c>
      <c r="F164" s="9" t="s">
        <v>230</v>
      </c>
      <c r="G164" s="10">
        <v>0.77222222222222225</v>
      </c>
      <c r="H164" s="9" t="s">
        <v>169</v>
      </c>
      <c r="I164" s="9">
        <v>6.28</v>
      </c>
      <c r="J164" s="9" t="s">
        <v>129</v>
      </c>
      <c r="K164" s="9">
        <v>163</v>
      </c>
      <c r="L164" s="9">
        <v>114</v>
      </c>
      <c r="M164" s="9" t="s">
        <v>22</v>
      </c>
      <c r="N164" s="9">
        <v>16</v>
      </c>
      <c r="O164" s="9" t="s">
        <v>23</v>
      </c>
      <c r="P164" s="9" t="s">
        <v>24</v>
      </c>
      <c r="Q164" s="9" t="str">
        <f t="shared" si="28"/>
        <v>Restaurant Delay</v>
      </c>
      <c r="R164" s="9">
        <f t="shared" si="29"/>
        <v>80.000000000000199</v>
      </c>
      <c r="S164" s="9">
        <f t="shared" si="30"/>
        <v>6.9999999999999751</v>
      </c>
      <c r="T164" s="9">
        <f t="shared" si="31"/>
        <v>2.9999999999999893</v>
      </c>
      <c r="U164" s="9">
        <f t="shared" si="41"/>
        <v>42.000000000000014</v>
      </c>
      <c r="V164" s="9">
        <f t="shared" si="32"/>
        <v>17</v>
      </c>
      <c r="W164" s="9" t="str">
        <f t="shared" si="33"/>
        <v>Evening</v>
      </c>
      <c r="X164" s="9" t="str">
        <f t="shared" si="34"/>
        <v>Peak</v>
      </c>
      <c r="Y164" s="23">
        <f t="shared" si="35"/>
        <v>0.14952380952380948</v>
      </c>
      <c r="Z164" s="23">
        <f t="shared" si="36"/>
        <v>18.152866242038215</v>
      </c>
      <c r="AA164" s="23">
        <f t="shared" si="37"/>
        <v>0.69938650306748462</v>
      </c>
      <c r="AB164" s="9" t="str">
        <f t="shared" si="38"/>
        <v>Late</v>
      </c>
      <c r="AC164" s="9" t="str">
        <f t="shared" si="39"/>
        <v>No Delay</v>
      </c>
      <c r="AD164" s="64" t="str">
        <f t="shared" si="40"/>
        <v>Long (5+km)</v>
      </c>
    </row>
    <row r="165" spans="1:30" x14ac:dyDescent="0.3">
      <c r="A165" s="8" t="s">
        <v>446</v>
      </c>
      <c r="B165" s="9" t="s">
        <v>771</v>
      </c>
      <c r="C165" s="9" t="s">
        <v>597</v>
      </c>
      <c r="D165" s="9">
        <v>20</v>
      </c>
      <c r="E165" s="9" t="s">
        <v>670</v>
      </c>
      <c r="F165" s="9" t="s">
        <v>137</v>
      </c>
      <c r="G165" s="10">
        <v>0.54652777777777772</v>
      </c>
      <c r="H165" s="9" t="s">
        <v>643</v>
      </c>
      <c r="I165" s="9">
        <v>1.79</v>
      </c>
      <c r="J165" s="9" t="s">
        <v>45</v>
      </c>
      <c r="K165" s="9">
        <v>212</v>
      </c>
      <c r="L165" s="9">
        <v>67</v>
      </c>
      <c r="M165" s="9" t="s">
        <v>22</v>
      </c>
      <c r="N165" s="9">
        <v>18</v>
      </c>
      <c r="O165" s="9" t="s">
        <v>23</v>
      </c>
      <c r="P165" s="9" t="s">
        <v>24</v>
      </c>
      <c r="Q165" s="9" t="str">
        <f t="shared" si="28"/>
        <v>None</v>
      </c>
      <c r="R165" s="9">
        <f t="shared" si="29"/>
        <v>43.000000000000007</v>
      </c>
      <c r="S165" s="9">
        <f t="shared" si="30"/>
        <v>2.9999999999998295</v>
      </c>
      <c r="T165" s="9">
        <f t="shared" si="31"/>
        <v>0.99999999999999645</v>
      </c>
      <c r="U165" s="9">
        <f t="shared" si="41"/>
        <v>19.000000000000092</v>
      </c>
      <c r="V165" s="9">
        <f t="shared" si="32"/>
        <v>12</v>
      </c>
      <c r="W165" s="9" t="str">
        <f t="shared" si="33"/>
        <v>Afternoon</v>
      </c>
      <c r="X165" s="9" t="str">
        <f t="shared" si="34"/>
        <v>Peak</v>
      </c>
      <c r="Y165" s="23">
        <f t="shared" si="35"/>
        <v>9.4210526315789023E-2</v>
      </c>
      <c r="Z165" s="23">
        <f t="shared" si="36"/>
        <v>37.430167597765362</v>
      </c>
      <c r="AA165" s="23">
        <f t="shared" si="37"/>
        <v>0.31603773584905659</v>
      </c>
      <c r="AB165" s="9" t="str">
        <f t="shared" si="38"/>
        <v>On-Time</v>
      </c>
      <c r="AC165" s="9" t="str">
        <f t="shared" si="39"/>
        <v>No Delay</v>
      </c>
      <c r="AD165" s="64" t="str">
        <f t="shared" si="40"/>
        <v>Short (0-2km)</v>
      </c>
    </row>
    <row r="166" spans="1:30" x14ac:dyDescent="0.3">
      <c r="A166" s="8" t="s">
        <v>448</v>
      </c>
      <c r="B166" s="9" t="s">
        <v>729</v>
      </c>
      <c r="C166" s="9" t="s">
        <v>597</v>
      </c>
      <c r="D166" s="9">
        <v>11</v>
      </c>
      <c r="E166" s="9" t="s">
        <v>536</v>
      </c>
      <c r="F166" s="9" t="s">
        <v>606</v>
      </c>
      <c r="G166" s="10">
        <v>0.78888888888888886</v>
      </c>
      <c r="H166" s="9" t="s">
        <v>311</v>
      </c>
      <c r="I166" s="9">
        <v>6.73</v>
      </c>
      <c r="J166" s="9" t="s">
        <v>65</v>
      </c>
      <c r="K166" s="9">
        <v>282</v>
      </c>
      <c r="L166" s="9">
        <v>118</v>
      </c>
      <c r="M166" s="9" t="s">
        <v>22</v>
      </c>
      <c r="N166" s="9">
        <v>17</v>
      </c>
      <c r="O166" s="9" t="s">
        <v>23</v>
      </c>
      <c r="P166" s="9" t="s">
        <v>24</v>
      </c>
      <c r="Q166" s="9" t="str">
        <f t="shared" si="28"/>
        <v>Distance</v>
      </c>
      <c r="R166" s="9">
        <f t="shared" si="29"/>
        <v>60.000000000000107</v>
      </c>
      <c r="S166" s="9">
        <f t="shared" si="30"/>
        <v>2.9999999999998295</v>
      </c>
      <c r="T166" s="9">
        <f t="shared" si="31"/>
        <v>5.9999999999999787</v>
      </c>
      <c r="U166" s="9">
        <f t="shared" si="41"/>
        <v>40.000000000000178</v>
      </c>
      <c r="V166" s="9">
        <f t="shared" si="32"/>
        <v>18</v>
      </c>
      <c r="W166" s="9" t="str">
        <f t="shared" si="33"/>
        <v>Peak Night</v>
      </c>
      <c r="X166" s="9" t="str">
        <f t="shared" si="34"/>
        <v>Peak</v>
      </c>
      <c r="Y166" s="23">
        <f t="shared" si="35"/>
        <v>0.16824999999999926</v>
      </c>
      <c r="Z166" s="23">
        <f t="shared" si="36"/>
        <v>17.533432392273401</v>
      </c>
      <c r="AA166" s="23">
        <f t="shared" si="37"/>
        <v>0.41843971631205673</v>
      </c>
      <c r="AB166" s="9" t="str">
        <f t="shared" si="38"/>
        <v>Late</v>
      </c>
      <c r="AC166" s="9" t="str">
        <f t="shared" si="39"/>
        <v>No Delay</v>
      </c>
      <c r="AD166" s="64" t="str">
        <f t="shared" si="40"/>
        <v>Long (5+km)</v>
      </c>
    </row>
    <row r="167" spans="1:30" x14ac:dyDescent="0.3">
      <c r="A167" s="8" t="s">
        <v>450</v>
      </c>
      <c r="B167" s="9" t="s">
        <v>616</v>
      </c>
      <c r="C167" s="9" t="s">
        <v>597</v>
      </c>
      <c r="D167" s="9">
        <v>10</v>
      </c>
      <c r="E167" s="9" t="s">
        <v>387</v>
      </c>
      <c r="F167" s="9" t="s">
        <v>599</v>
      </c>
      <c r="G167" s="10">
        <v>0.84722222222222221</v>
      </c>
      <c r="H167" s="9" t="s">
        <v>779</v>
      </c>
      <c r="I167" s="9">
        <v>7.9</v>
      </c>
      <c r="J167" s="9" t="s">
        <v>21</v>
      </c>
      <c r="K167" s="9">
        <v>273</v>
      </c>
      <c r="L167" s="9">
        <v>137</v>
      </c>
      <c r="M167" s="9" t="s">
        <v>22</v>
      </c>
      <c r="N167" s="9">
        <v>8</v>
      </c>
      <c r="O167" s="9" t="s">
        <v>34</v>
      </c>
      <c r="P167" s="9" t="s">
        <v>24</v>
      </c>
      <c r="Q167" s="9" t="str">
        <f t="shared" si="28"/>
        <v>Traffic</v>
      </c>
      <c r="R167" s="9">
        <f t="shared" si="29"/>
        <v>78.000000000000043</v>
      </c>
      <c r="S167" s="9">
        <f t="shared" si="30"/>
        <v>8.999999999999968</v>
      </c>
      <c r="T167" s="9">
        <f t="shared" si="31"/>
        <v>8.999999999999968</v>
      </c>
      <c r="U167" s="9">
        <f t="shared" si="41"/>
        <v>50.000000000000142</v>
      </c>
      <c r="V167" s="9">
        <f t="shared" si="32"/>
        <v>19</v>
      </c>
      <c r="W167" s="9" t="str">
        <f t="shared" si="33"/>
        <v>Peak Night</v>
      </c>
      <c r="X167" s="9" t="str">
        <f t="shared" si="34"/>
        <v>Peak</v>
      </c>
      <c r="Y167" s="23">
        <f t="shared" si="35"/>
        <v>0.15799999999999956</v>
      </c>
      <c r="Z167" s="23">
        <f t="shared" si="36"/>
        <v>17.341772151898734</v>
      </c>
      <c r="AA167" s="23">
        <f t="shared" si="37"/>
        <v>0.50183150183150182</v>
      </c>
      <c r="AB167" s="9" t="str">
        <f t="shared" si="38"/>
        <v>Late</v>
      </c>
      <c r="AC167" s="9" t="str">
        <f t="shared" si="39"/>
        <v>No Delay</v>
      </c>
      <c r="AD167" s="64" t="str">
        <f t="shared" si="40"/>
        <v>Long (5+km)</v>
      </c>
    </row>
    <row r="168" spans="1:30" x14ac:dyDescent="0.3">
      <c r="A168" s="8" t="s">
        <v>451</v>
      </c>
      <c r="B168" s="9" t="s">
        <v>233</v>
      </c>
      <c r="C168" s="9" t="s">
        <v>597</v>
      </c>
      <c r="D168" s="9">
        <v>20</v>
      </c>
      <c r="E168" s="9" t="s">
        <v>244</v>
      </c>
      <c r="F168" s="9" t="s">
        <v>120</v>
      </c>
      <c r="G168" s="10">
        <v>0.59652777777777777</v>
      </c>
      <c r="H168" s="9" t="s">
        <v>103</v>
      </c>
      <c r="I168" s="9">
        <v>5.69</v>
      </c>
      <c r="J168" s="9" t="s">
        <v>54</v>
      </c>
      <c r="K168" s="9">
        <v>397</v>
      </c>
      <c r="L168" s="9">
        <v>111</v>
      </c>
      <c r="M168" s="9" t="s">
        <v>22</v>
      </c>
      <c r="N168" s="9">
        <v>13</v>
      </c>
      <c r="O168" s="9" t="s">
        <v>23</v>
      </c>
      <c r="P168" s="9" t="s">
        <v>24</v>
      </c>
      <c r="Q168" s="9" t="str">
        <f t="shared" si="28"/>
        <v>None</v>
      </c>
      <c r="R168" s="9">
        <f t="shared" si="29"/>
        <v>65.999999999999929</v>
      </c>
      <c r="S168" s="9">
        <f t="shared" si="30"/>
        <v>0.99999999999999645</v>
      </c>
      <c r="T168" s="9">
        <f t="shared" si="31"/>
        <v>1.9999999999999929</v>
      </c>
      <c r="U168" s="9">
        <f t="shared" si="41"/>
        <v>43.000000000000007</v>
      </c>
      <c r="V168" s="9">
        <f t="shared" si="32"/>
        <v>13</v>
      </c>
      <c r="W168" s="9" t="str">
        <f t="shared" si="33"/>
        <v>Afternoon</v>
      </c>
      <c r="X168" s="9" t="str">
        <f t="shared" si="34"/>
        <v>Peak</v>
      </c>
      <c r="Y168" s="23">
        <f t="shared" si="35"/>
        <v>0.13232558139534883</v>
      </c>
      <c r="Z168" s="23">
        <f t="shared" si="36"/>
        <v>19.507908611599294</v>
      </c>
      <c r="AA168" s="23">
        <f t="shared" si="37"/>
        <v>0.27959697732997479</v>
      </c>
      <c r="AB168" s="9" t="str">
        <f t="shared" si="38"/>
        <v>Late</v>
      </c>
      <c r="AC168" s="9" t="str">
        <f t="shared" si="39"/>
        <v>No Delay</v>
      </c>
      <c r="AD168" s="64" t="str">
        <f t="shared" si="40"/>
        <v>Long (5+km)</v>
      </c>
    </row>
    <row r="169" spans="1:30" x14ac:dyDescent="0.3">
      <c r="A169" s="8" t="s">
        <v>453</v>
      </c>
      <c r="B169" s="9" t="s">
        <v>727</v>
      </c>
      <c r="C169" s="9" t="s">
        <v>597</v>
      </c>
      <c r="D169" s="9">
        <v>17</v>
      </c>
      <c r="E169" s="9" t="s">
        <v>248</v>
      </c>
      <c r="F169" s="9" t="s">
        <v>38</v>
      </c>
      <c r="G169" s="10">
        <v>0.72916666666666674</v>
      </c>
      <c r="H169" s="9" t="s">
        <v>249</v>
      </c>
      <c r="I169" s="9">
        <v>6.82</v>
      </c>
      <c r="J169" s="9" t="s">
        <v>76</v>
      </c>
      <c r="K169" s="9">
        <v>154</v>
      </c>
      <c r="L169" s="9">
        <v>123</v>
      </c>
      <c r="M169" s="9" t="s">
        <v>22</v>
      </c>
      <c r="N169" s="9">
        <v>12</v>
      </c>
      <c r="O169" s="9" t="s">
        <v>23</v>
      </c>
      <c r="P169" s="9" t="s">
        <v>24</v>
      </c>
      <c r="Q169" s="9" t="str">
        <f t="shared" si="28"/>
        <v>Distance</v>
      </c>
      <c r="R169" s="9">
        <f t="shared" si="29"/>
        <v>68.999999999999915</v>
      </c>
      <c r="S169" s="9">
        <f t="shared" si="30"/>
        <v>1.0000000000001563</v>
      </c>
      <c r="T169" s="9">
        <f t="shared" si="31"/>
        <v>0.99999999999999645</v>
      </c>
      <c r="U169" s="9">
        <f t="shared" si="41"/>
        <v>49.999999999999822</v>
      </c>
      <c r="V169" s="9">
        <f t="shared" si="32"/>
        <v>17</v>
      </c>
      <c r="W169" s="9" t="str">
        <f t="shared" si="33"/>
        <v>Evening</v>
      </c>
      <c r="X169" s="9" t="str">
        <f t="shared" si="34"/>
        <v>Peak</v>
      </c>
      <c r="Y169" s="23">
        <f t="shared" si="35"/>
        <v>0.13640000000000049</v>
      </c>
      <c r="Z169" s="23">
        <f t="shared" si="36"/>
        <v>18.035190615835777</v>
      </c>
      <c r="AA169" s="23">
        <f t="shared" si="37"/>
        <v>0.79870129870129869</v>
      </c>
      <c r="AB169" s="9" t="str">
        <f t="shared" si="38"/>
        <v>Late</v>
      </c>
      <c r="AC169" s="9" t="str">
        <f t="shared" si="39"/>
        <v>No Delay</v>
      </c>
      <c r="AD169" s="64" t="str">
        <f t="shared" si="40"/>
        <v>Long (5+km)</v>
      </c>
    </row>
    <row r="170" spans="1:30" x14ac:dyDescent="0.3">
      <c r="A170" s="8" t="s">
        <v>456</v>
      </c>
      <c r="B170" s="9" t="s">
        <v>198</v>
      </c>
      <c r="C170" s="9" t="s">
        <v>597</v>
      </c>
      <c r="D170" s="9">
        <v>16</v>
      </c>
      <c r="E170" s="9" t="s">
        <v>199</v>
      </c>
      <c r="F170" s="9" t="s">
        <v>200</v>
      </c>
      <c r="G170" s="10">
        <v>0.46388888888888891</v>
      </c>
      <c r="H170" s="9" t="s">
        <v>708</v>
      </c>
      <c r="I170" s="9">
        <v>4.7699999999999996</v>
      </c>
      <c r="J170" s="9" t="s">
        <v>62</v>
      </c>
      <c r="K170" s="9">
        <v>174</v>
      </c>
      <c r="L170" s="9">
        <v>102</v>
      </c>
      <c r="M170" s="9" t="s">
        <v>22</v>
      </c>
      <c r="N170" s="9">
        <v>18</v>
      </c>
      <c r="O170" s="9" t="s">
        <v>23</v>
      </c>
      <c r="P170" s="9" t="s">
        <v>24</v>
      </c>
      <c r="Q170" s="9" t="str">
        <f t="shared" si="28"/>
        <v>None</v>
      </c>
      <c r="R170" s="9">
        <f t="shared" si="29"/>
        <v>57.999999999999957</v>
      </c>
      <c r="S170" s="9">
        <f t="shared" si="30"/>
        <v>1.9999999999999929</v>
      </c>
      <c r="T170" s="9">
        <f t="shared" si="31"/>
        <v>4.9999999999999822</v>
      </c>
      <c r="U170" s="9">
        <f t="shared" si="41"/>
        <v>34.999999999999957</v>
      </c>
      <c r="V170" s="9">
        <f t="shared" si="32"/>
        <v>10</v>
      </c>
      <c r="W170" s="9" t="str">
        <f t="shared" si="33"/>
        <v>Late Morning</v>
      </c>
      <c r="X170" s="9" t="str">
        <f t="shared" si="34"/>
        <v>Off-Peak</v>
      </c>
      <c r="Y170" s="23">
        <f t="shared" si="35"/>
        <v>0.13628571428571443</v>
      </c>
      <c r="Z170" s="23">
        <f t="shared" si="36"/>
        <v>21.383647798742139</v>
      </c>
      <c r="AA170" s="23">
        <f t="shared" si="37"/>
        <v>0.58620689655172409</v>
      </c>
      <c r="AB170" s="9" t="str">
        <f t="shared" si="38"/>
        <v>Late</v>
      </c>
      <c r="AC170" s="9" t="str">
        <f t="shared" si="39"/>
        <v>No Delay</v>
      </c>
      <c r="AD170" s="64" t="str">
        <f t="shared" si="40"/>
        <v>Medium (2-5km)</v>
      </c>
    </row>
    <row r="171" spans="1:30" x14ac:dyDescent="0.3">
      <c r="A171" s="8" t="s">
        <v>457</v>
      </c>
      <c r="B171" s="9" t="s">
        <v>447</v>
      </c>
      <c r="C171" s="9" t="s">
        <v>597</v>
      </c>
      <c r="D171" s="9">
        <v>17</v>
      </c>
      <c r="E171" s="9" t="s">
        <v>650</v>
      </c>
      <c r="F171" s="9" t="s">
        <v>199</v>
      </c>
      <c r="G171" s="10">
        <v>0.46180555555555558</v>
      </c>
      <c r="H171" s="9" t="s">
        <v>42</v>
      </c>
      <c r="I171" s="9">
        <v>5.17</v>
      </c>
      <c r="J171" s="9" t="s">
        <v>118</v>
      </c>
      <c r="K171" s="9">
        <v>248</v>
      </c>
      <c r="L171" s="9">
        <v>102</v>
      </c>
      <c r="M171" s="9" t="s">
        <v>22</v>
      </c>
      <c r="N171" s="9">
        <v>13</v>
      </c>
      <c r="O171" s="9" t="s">
        <v>23</v>
      </c>
      <c r="P171" s="9" t="s">
        <v>24</v>
      </c>
      <c r="Q171" s="9" t="str">
        <f t="shared" si="28"/>
        <v>None</v>
      </c>
      <c r="R171" s="9">
        <f t="shared" si="29"/>
        <v>55.999999999999957</v>
      </c>
      <c r="S171" s="9">
        <f t="shared" si="30"/>
        <v>1.0000000000000764</v>
      </c>
      <c r="T171" s="9">
        <f t="shared" si="31"/>
        <v>3.9999999999999858</v>
      </c>
      <c r="U171" s="9">
        <f t="shared" si="41"/>
        <v>33.999999999999957</v>
      </c>
      <c r="V171" s="9">
        <f t="shared" si="32"/>
        <v>10</v>
      </c>
      <c r="W171" s="9" t="str">
        <f t="shared" si="33"/>
        <v>Late Morning</v>
      </c>
      <c r="X171" s="9" t="str">
        <f t="shared" si="34"/>
        <v>Off-Peak</v>
      </c>
      <c r="Y171" s="23">
        <f t="shared" si="35"/>
        <v>0.15205882352941194</v>
      </c>
      <c r="Z171" s="23">
        <f t="shared" si="36"/>
        <v>19.729206963249517</v>
      </c>
      <c r="AA171" s="23">
        <f t="shared" si="37"/>
        <v>0.41129032258064518</v>
      </c>
      <c r="AB171" s="9" t="str">
        <f t="shared" si="38"/>
        <v>Late</v>
      </c>
      <c r="AC171" s="9" t="str">
        <f t="shared" si="39"/>
        <v>No Delay</v>
      </c>
      <c r="AD171" s="64" t="str">
        <f t="shared" si="40"/>
        <v>Long (5+km)</v>
      </c>
    </row>
    <row r="172" spans="1:30" x14ac:dyDescent="0.3">
      <c r="A172" s="8" t="s">
        <v>458</v>
      </c>
      <c r="B172" s="9" t="s">
        <v>696</v>
      </c>
      <c r="C172" s="9" t="s">
        <v>597</v>
      </c>
      <c r="D172" s="9">
        <v>15</v>
      </c>
      <c r="E172" s="9" t="s">
        <v>675</v>
      </c>
      <c r="F172" s="9" t="s">
        <v>675</v>
      </c>
      <c r="G172" s="10">
        <v>0.68402777777777768</v>
      </c>
      <c r="H172" s="9" t="s">
        <v>454</v>
      </c>
      <c r="I172" s="9">
        <v>7.87</v>
      </c>
      <c r="J172" s="9" t="s">
        <v>76</v>
      </c>
      <c r="K172" s="9">
        <v>163</v>
      </c>
      <c r="L172" s="9">
        <v>127</v>
      </c>
      <c r="M172" s="9" t="s">
        <v>22</v>
      </c>
      <c r="N172" s="9">
        <v>20</v>
      </c>
      <c r="O172" s="9" t="s">
        <v>55</v>
      </c>
      <c r="P172" s="9" t="s">
        <v>24</v>
      </c>
      <c r="Q172" s="9" t="str">
        <f t="shared" si="28"/>
        <v>Distance</v>
      </c>
      <c r="R172" s="9">
        <f t="shared" si="29"/>
        <v>65.000000000000085</v>
      </c>
      <c r="S172" s="9">
        <f t="shared" si="30"/>
        <v>0</v>
      </c>
      <c r="T172" s="9">
        <f t="shared" si="31"/>
        <v>0.99999999999999645</v>
      </c>
      <c r="U172" s="9">
        <f t="shared" si="41"/>
        <v>49.000000000000142</v>
      </c>
      <c r="V172" s="9">
        <f t="shared" si="32"/>
        <v>16</v>
      </c>
      <c r="W172" s="9" t="str">
        <f t="shared" si="33"/>
        <v>Evening</v>
      </c>
      <c r="X172" s="9" t="str">
        <f t="shared" si="34"/>
        <v>Off-Peak</v>
      </c>
      <c r="Y172" s="23">
        <f t="shared" si="35"/>
        <v>0.16061224489795872</v>
      </c>
      <c r="Z172" s="23">
        <f t="shared" si="36"/>
        <v>16.137229987293519</v>
      </c>
      <c r="AA172" s="23">
        <f t="shared" si="37"/>
        <v>0.77914110429447858</v>
      </c>
      <c r="AB172" s="9" t="str">
        <f t="shared" si="38"/>
        <v>Late</v>
      </c>
      <c r="AC172" s="9" t="str">
        <f t="shared" si="39"/>
        <v>No Delay</v>
      </c>
      <c r="AD172" s="64" t="str">
        <f t="shared" si="40"/>
        <v>Long (5+km)</v>
      </c>
    </row>
    <row r="173" spans="1:30" x14ac:dyDescent="0.3">
      <c r="A173" s="8" t="s">
        <v>459</v>
      </c>
      <c r="B173" s="9" t="s">
        <v>198</v>
      </c>
      <c r="C173" s="9" t="s">
        <v>597</v>
      </c>
      <c r="D173" s="9">
        <v>12</v>
      </c>
      <c r="E173" s="9" t="s">
        <v>706</v>
      </c>
      <c r="F173" s="9" t="s">
        <v>706</v>
      </c>
      <c r="G173" s="10">
        <v>0.45694444444444443</v>
      </c>
      <c r="H173" s="9" t="s">
        <v>58</v>
      </c>
      <c r="I173" s="9">
        <v>4.28</v>
      </c>
      <c r="J173" s="9" t="s">
        <v>69</v>
      </c>
      <c r="K173" s="9">
        <v>363</v>
      </c>
      <c r="L173" s="9">
        <v>94</v>
      </c>
      <c r="M173" s="9" t="s">
        <v>22</v>
      </c>
      <c r="N173" s="9">
        <v>13</v>
      </c>
      <c r="O173" s="9" t="s">
        <v>23</v>
      </c>
      <c r="P173" s="9" t="s">
        <v>24</v>
      </c>
      <c r="Q173" s="9" t="str">
        <f t="shared" si="28"/>
        <v>None</v>
      </c>
      <c r="R173" s="9">
        <f t="shared" si="29"/>
        <v>46.999999999999993</v>
      </c>
      <c r="S173" s="9">
        <f t="shared" si="30"/>
        <v>0</v>
      </c>
      <c r="T173" s="9">
        <f t="shared" si="31"/>
        <v>0.99999999999999645</v>
      </c>
      <c r="U173" s="9">
        <f t="shared" si="41"/>
        <v>34.000000000000043</v>
      </c>
      <c r="V173" s="9">
        <f t="shared" si="32"/>
        <v>10</v>
      </c>
      <c r="W173" s="9" t="str">
        <f t="shared" si="33"/>
        <v>Late Morning</v>
      </c>
      <c r="X173" s="9" t="str">
        <f t="shared" si="34"/>
        <v>Off-Peak</v>
      </c>
      <c r="Y173" s="23">
        <f t="shared" si="35"/>
        <v>0.12588235294117631</v>
      </c>
      <c r="Z173" s="23">
        <f t="shared" si="36"/>
        <v>21.962616822429904</v>
      </c>
      <c r="AA173" s="23">
        <f t="shared" si="37"/>
        <v>0.25895316804407714</v>
      </c>
      <c r="AB173" s="9" t="str">
        <f t="shared" si="38"/>
        <v>Late</v>
      </c>
      <c r="AC173" s="9" t="str">
        <f t="shared" si="39"/>
        <v>No Delay</v>
      </c>
      <c r="AD173" s="64" t="str">
        <f t="shared" si="40"/>
        <v>Medium (2-5km)</v>
      </c>
    </row>
    <row r="174" spans="1:30" x14ac:dyDescent="0.3">
      <c r="A174" s="8" t="s">
        <v>462</v>
      </c>
      <c r="B174" s="9" t="s">
        <v>53</v>
      </c>
      <c r="C174" s="9" t="s">
        <v>594</v>
      </c>
      <c r="D174" s="9">
        <v>37</v>
      </c>
      <c r="E174" s="9" t="s">
        <v>716</v>
      </c>
      <c r="F174" s="9" t="s">
        <v>313</v>
      </c>
      <c r="G174" s="10">
        <v>0.73333333333333328</v>
      </c>
      <c r="H174" s="9" t="s">
        <v>128</v>
      </c>
      <c r="I174" s="9">
        <v>5.52</v>
      </c>
      <c r="J174" s="9" t="s">
        <v>122</v>
      </c>
      <c r="K174" s="9">
        <v>240</v>
      </c>
      <c r="L174" s="9">
        <v>104</v>
      </c>
      <c r="M174" s="9" t="s">
        <v>22</v>
      </c>
      <c r="N174" s="9">
        <v>19</v>
      </c>
      <c r="O174" s="9" t="s">
        <v>55</v>
      </c>
      <c r="P174" s="9" t="s">
        <v>24</v>
      </c>
      <c r="Q174" s="9" t="str">
        <f t="shared" si="28"/>
        <v>Restaurant Delay</v>
      </c>
      <c r="R174" s="9">
        <f t="shared" si="29"/>
        <v>83.000000000000028</v>
      </c>
      <c r="S174" s="9">
        <f t="shared" si="30"/>
        <v>7.9999999999999716</v>
      </c>
      <c r="T174" s="9">
        <f t="shared" si="31"/>
        <v>5.9999999999999787</v>
      </c>
      <c r="U174" s="9">
        <f t="shared" si="41"/>
        <v>32.000000000000043</v>
      </c>
      <c r="V174" s="9">
        <f t="shared" si="32"/>
        <v>16</v>
      </c>
      <c r="W174" s="9" t="str">
        <f t="shared" si="33"/>
        <v>Evening</v>
      </c>
      <c r="X174" s="9" t="str">
        <f t="shared" si="34"/>
        <v>Off-Peak</v>
      </c>
      <c r="Y174" s="23">
        <f t="shared" si="35"/>
        <v>0.17249999999999976</v>
      </c>
      <c r="Z174" s="23">
        <f t="shared" si="36"/>
        <v>18.840579710144929</v>
      </c>
      <c r="AA174" s="23">
        <f t="shared" si="37"/>
        <v>0.43333333333333335</v>
      </c>
      <c r="AB174" s="9" t="str">
        <f t="shared" si="38"/>
        <v>Late</v>
      </c>
      <c r="AC174" s="9" t="str">
        <f t="shared" si="39"/>
        <v>No Delay</v>
      </c>
      <c r="AD174" s="64" t="str">
        <f t="shared" si="40"/>
        <v>Long (5+km)</v>
      </c>
    </row>
    <row r="175" spans="1:30" x14ac:dyDescent="0.3">
      <c r="A175" s="8" t="s">
        <v>465</v>
      </c>
      <c r="B175" s="9" t="s">
        <v>780</v>
      </c>
      <c r="C175" s="9" t="s">
        <v>597</v>
      </c>
      <c r="D175" s="9">
        <v>17</v>
      </c>
      <c r="E175" s="9" t="s">
        <v>781</v>
      </c>
      <c r="F175" s="9" t="s">
        <v>525</v>
      </c>
      <c r="G175" s="10">
        <v>0.46527777777777779</v>
      </c>
      <c r="H175" s="9" t="s">
        <v>42</v>
      </c>
      <c r="I175" s="9">
        <v>3.13</v>
      </c>
      <c r="J175" s="9" t="s">
        <v>69</v>
      </c>
      <c r="K175" s="9">
        <v>302</v>
      </c>
      <c r="L175" s="9">
        <v>84</v>
      </c>
      <c r="M175" s="9" t="s">
        <v>22</v>
      </c>
      <c r="N175" s="9">
        <v>12</v>
      </c>
      <c r="O175" s="9" t="s">
        <v>23</v>
      </c>
      <c r="P175" s="9" t="s">
        <v>24</v>
      </c>
      <c r="Q175" s="9" t="str">
        <f t="shared" si="28"/>
        <v>None</v>
      </c>
      <c r="R175" s="9">
        <f t="shared" si="29"/>
        <v>48.999999999999986</v>
      </c>
      <c r="S175" s="9">
        <f t="shared" si="30"/>
        <v>1.9999999999999929</v>
      </c>
      <c r="T175" s="9">
        <f t="shared" si="31"/>
        <v>0.99999999999999645</v>
      </c>
      <c r="U175" s="9">
        <f t="shared" si="41"/>
        <v>28.999999999999979</v>
      </c>
      <c r="V175" s="9">
        <f t="shared" si="32"/>
        <v>10</v>
      </c>
      <c r="W175" s="9" t="str">
        <f t="shared" si="33"/>
        <v>Late Morning</v>
      </c>
      <c r="X175" s="9" t="str">
        <f t="shared" si="34"/>
        <v>Off-Peak</v>
      </c>
      <c r="Y175" s="23">
        <f t="shared" si="35"/>
        <v>0.1079310344827587</v>
      </c>
      <c r="Z175" s="23">
        <f t="shared" si="36"/>
        <v>26.837060702875402</v>
      </c>
      <c r="AA175" s="23">
        <f t="shared" si="37"/>
        <v>0.27814569536423839</v>
      </c>
      <c r="AB175" s="9" t="str">
        <f t="shared" si="38"/>
        <v>Late</v>
      </c>
      <c r="AC175" s="9" t="str">
        <f t="shared" si="39"/>
        <v>No Delay</v>
      </c>
      <c r="AD175" s="64" t="str">
        <f t="shared" si="40"/>
        <v>Medium (2-5km)</v>
      </c>
    </row>
    <row r="176" spans="1:30" x14ac:dyDescent="0.3">
      <c r="A176" s="8" t="s">
        <v>466</v>
      </c>
      <c r="B176" s="9" t="s">
        <v>139</v>
      </c>
      <c r="C176" s="9" t="s">
        <v>597</v>
      </c>
      <c r="D176" s="9">
        <v>14</v>
      </c>
      <c r="E176" s="9" t="s">
        <v>685</v>
      </c>
      <c r="F176" s="9" t="s">
        <v>61</v>
      </c>
      <c r="G176" s="10">
        <v>0.83263888888888882</v>
      </c>
      <c r="H176" s="9" t="s">
        <v>731</v>
      </c>
      <c r="I176" s="9">
        <v>6.51</v>
      </c>
      <c r="J176" s="9" t="s">
        <v>28</v>
      </c>
      <c r="K176" s="9">
        <v>283</v>
      </c>
      <c r="L176" s="9">
        <v>129</v>
      </c>
      <c r="M176" s="9" t="s">
        <v>22</v>
      </c>
      <c r="N176" s="9">
        <v>8</v>
      </c>
      <c r="O176" s="9" t="s">
        <v>34</v>
      </c>
      <c r="P176" s="9" t="s">
        <v>24</v>
      </c>
      <c r="Q176" s="9" t="str">
        <f t="shared" si="28"/>
        <v>Traffic</v>
      </c>
      <c r="R176" s="9">
        <f t="shared" si="29"/>
        <v>79.000000000000043</v>
      </c>
      <c r="S176" s="9">
        <f t="shared" si="30"/>
        <v>6.9999999999999751</v>
      </c>
      <c r="T176" s="9">
        <f t="shared" si="31"/>
        <v>8.999999999999968</v>
      </c>
      <c r="U176" s="9">
        <f t="shared" si="41"/>
        <v>49.000000000000142</v>
      </c>
      <c r="V176" s="9">
        <f t="shared" si="32"/>
        <v>19</v>
      </c>
      <c r="W176" s="9" t="str">
        <f t="shared" si="33"/>
        <v>Peak Night</v>
      </c>
      <c r="X176" s="9" t="str">
        <f t="shared" si="34"/>
        <v>Peak</v>
      </c>
      <c r="Y176" s="23">
        <f t="shared" si="35"/>
        <v>0.13285714285714248</v>
      </c>
      <c r="Z176" s="23">
        <f t="shared" si="36"/>
        <v>19.815668202764979</v>
      </c>
      <c r="AA176" s="23">
        <f t="shared" si="37"/>
        <v>0.45583038869257952</v>
      </c>
      <c r="AB176" s="9" t="str">
        <f t="shared" si="38"/>
        <v>Late</v>
      </c>
      <c r="AC176" s="9" t="str">
        <f t="shared" si="39"/>
        <v>No Delay</v>
      </c>
      <c r="AD176" s="64" t="str">
        <f t="shared" si="40"/>
        <v>Long (5+km)</v>
      </c>
    </row>
    <row r="177" spans="1:30" x14ac:dyDescent="0.3">
      <c r="A177" s="8" t="s">
        <v>467</v>
      </c>
      <c r="B177" s="9" t="s">
        <v>32</v>
      </c>
      <c r="C177" s="9" t="s">
        <v>597</v>
      </c>
      <c r="D177" s="9">
        <v>10</v>
      </c>
      <c r="E177" s="9" t="s">
        <v>431</v>
      </c>
      <c r="F177" s="9" t="s">
        <v>307</v>
      </c>
      <c r="G177" s="10">
        <v>0.84166666666666656</v>
      </c>
      <c r="H177" s="9" t="s">
        <v>638</v>
      </c>
      <c r="I177" s="9">
        <v>1.1000000000000001</v>
      </c>
      <c r="J177" s="9" t="s">
        <v>21</v>
      </c>
      <c r="K177" s="9">
        <v>244</v>
      </c>
      <c r="L177" s="9">
        <v>74</v>
      </c>
      <c r="M177" s="9" t="s">
        <v>22</v>
      </c>
      <c r="N177" s="9">
        <v>12</v>
      </c>
      <c r="O177" s="9" t="s">
        <v>34</v>
      </c>
      <c r="P177" s="9" t="s">
        <v>24</v>
      </c>
      <c r="Q177" s="9" t="str">
        <f t="shared" si="28"/>
        <v>Traffic</v>
      </c>
      <c r="R177" s="9">
        <f t="shared" si="29"/>
        <v>42.000000000000014</v>
      </c>
      <c r="S177" s="9">
        <f t="shared" si="30"/>
        <v>1.999999999999833</v>
      </c>
      <c r="T177" s="9">
        <f t="shared" si="31"/>
        <v>10.999999999999961</v>
      </c>
      <c r="U177" s="9">
        <f t="shared" si="41"/>
        <v>19.000000000000092</v>
      </c>
      <c r="V177" s="9">
        <f t="shared" si="32"/>
        <v>19</v>
      </c>
      <c r="W177" s="9" t="str">
        <f t="shared" si="33"/>
        <v>Peak Night</v>
      </c>
      <c r="X177" s="9" t="str">
        <f t="shared" si="34"/>
        <v>Peak</v>
      </c>
      <c r="Y177" s="23">
        <f t="shared" si="35"/>
        <v>5.7894736842104985E-2</v>
      </c>
      <c r="Z177" s="23">
        <f t="shared" si="36"/>
        <v>67.272727272727266</v>
      </c>
      <c r="AA177" s="23">
        <f t="shared" si="37"/>
        <v>0.30327868852459017</v>
      </c>
      <c r="AB177" s="9" t="str">
        <f t="shared" si="38"/>
        <v>On-Time</v>
      </c>
      <c r="AC177" s="9" t="str">
        <f t="shared" si="39"/>
        <v>No Delay</v>
      </c>
      <c r="AD177" s="64" t="str">
        <f t="shared" si="40"/>
        <v>Short (0-2km)</v>
      </c>
    </row>
    <row r="178" spans="1:30" x14ac:dyDescent="0.3">
      <c r="A178" s="8" t="s">
        <v>470</v>
      </c>
      <c r="B178" s="9" t="s">
        <v>774</v>
      </c>
      <c r="C178" s="9" t="s">
        <v>597</v>
      </c>
      <c r="D178" s="9">
        <v>19</v>
      </c>
      <c r="E178" s="9" t="s">
        <v>627</v>
      </c>
      <c r="F178" s="9" t="s">
        <v>627</v>
      </c>
      <c r="G178" s="10">
        <v>0.45763888888888887</v>
      </c>
      <c r="H178" s="9" t="s">
        <v>258</v>
      </c>
      <c r="I178" s="9">
        <v>7.27</v>
      </c>
      <c r="J178" s="9" t="s">
        <v>129</v>
      </c>
      <c r="K178" s="9">
        <v>264</v>
      </c>
      <c r="L178" s="9">
        <v>125</v>
      </c>
      <c r="M178" s="9" t="s">
        <v>22</v>
      </c>
      <c r="N178" s="9">
        <v>12</v>
      </c>
      <c r="O178" s="9" t="s">
        <v>23</v>
      </c>
      <c r="P178" s="9" t="s">
        <v>24</v>
      </c>
      <c r="Q178" s="9" t="str">
        <f t="shared" si="28"/>
        <v>Distance</v>
      </c>
      <c r="R178" s="9">
        <f t="shared" si="29"/>
        <v>69.999999999999915</v>
      </c>
      <c r="S178" s="9">
        <f t="shared" si="30"/>
        <v>0</v>
      </c>
      <c r="T178" s="9">
        <f t="shared" si="31"/>
        <v>4.9999999999999822</v>
      </c>
      <c r="U178" s="9">
        <f t="shared" si="41"/>
        <v>46</v>
      </c>
      <c r="V178" s="9">
        <f t="shared" si="32"/>
        <v>10</v>
      </c>
      <c r="W178" s="9" t="str">
        <f t="shared" si="33"/>
        <v>Late Morning</v>
      </c>
      <c r="X178" s="9" t="str">
        <f t="shared" si="34"/>
        <v>Off-Peak</v>
      </c>
      <c r="Y178" s="23">
        <f t="shared" si="35"/>
        <v>0.15804347826086956</v>
      </c>
      <c r="Z178" s="23">
        <f t="shared" si="36"/>
        <v>17.1939477303989</v>
      </c>
      <c r="AA178" s="23">
        <f t="shared" si="37"/>
        <v>0.47348484848484851</v>
      </c>
      <c r="AB178" s="9" t="str">
        <f t="shared" si="38"/>
        <v>Late</v>
      </c>
      <c r="AC178" s="9" t="str">
        <f t="shared" si="39"/>
        <v>No Delay</v>
      </c>
      <c r="AD178" s="64" t="str">
        <f t="shared" si="40"/>
        <v>Long (5+km)</v>
      </c>
    </row>
    <row r="179" spans="1:30" x14ac:dyDescent="0.3">
      <c r="A179" s="8" t="s">
        <v>472</v>
      </c>
      <c r="B179" s="9" t="s">
        <v>86</v>
      </c>
      <c r="C179" s="9" t="s">
        <v>597</v>
      </c>
      <c r="D179" s="9">
        <v>18</v>
      </c>
      <c r="E179" s="9" t="s">
        <v>606</v>
      </c>
      <c r="F179" s="9" t="s">
        <v>238</v>
      </c>
      <c r="G179" s="10">
        <v>0.79027777777777775</v>
      </c>
      <c r="H179" s="9" t="s">
        <v>684</v>
      </c>
      <c r="I179" s="9">
        <v>7.37</v>
      </c>
      <c r="J179" s="9" t="s">
        <v>69</v>
      </c>
      <c r="K179" s="9">
        <v>379</v>
      </c>
      <c r="L179" s="9">
        <v>124</v>
      </c>
      <c r="M179" s="9" t="s">
        <v>22</v>
      </c>
      <c r="N179" s="9">
        <v>12</v>
      </c>
      <c r="O179" s="9" t="s">
        <v>23</v>
      </c>
      <c r="P179" s="9" t="s">
        <v>24</v>
      </c>
      <c r="Q179" s="9" t="str">
        <f t="shared" si="28"/>
        <v>Distance</v>
      </c>
      <c r="R179" s="9">
        <f t="shared" si="29"/>
        <v>68.999999999999915</v>
      </c>
      <c r="S179" s="9">
        <f t="shared" si="30"/>
        <v>1.9999999999999929</v>
      </c>
      <c r="T179" s="9">
        <f t="shared" si="31"/>
        <v>5.9999999999999787</v>
      </c>
      <c r="U179" s="9">
        <f t="shared" si="41"/>
        <v>43.000000000000007</v>
      </c>
      <c r="V179" s="9">
        <f t="shared" si="32"/>
        <v>18</v>
      </c>
      <c r="W179" s="9" t="str">
        <f t="shared" si="33"/>
        <v>Peak Night</v>
      </c>
      <c r="X179" s="9" t="str">
        <f t="shared" si="34"/>
        <v>Peak</v>
      </c>
      <c r="Y179" s="23">
        <f t="shared" si="35"/>
        <v>0.17139534883720928</v>
      </c>
      <c r="Z179" s="23">
        <f t="shared" si="36"/>
        <v>16.824966078697422</v>
      </c>
      <c r="AA179" s="23">
        <f t="shared" si="37"/>
        <v>0.32717678100263853</v>
      </c>
      <c r="AB179" s="9" t="str">
        <f t="shared" si="38"/>
        <v>Late</v>
      </c>
      <c r="AC179" s="9" t="str">
        <f t="shared" si="39"/>
        <v>No Delay</v>
      </c>
      <c r="AD179" s="64" t="str">
        <f t="shared" si="40"/>
        <v>Long (5+km)</v>
      </c>
    </row>
    <row r="180" spans="1:30" x14ac:dyDescent="0.3">
      <c r="A180" s="8" t="s">
        <v>474</v>
      </c>
      <c r="B180" s="9" t="s">
        <v>20</v>
      </c>
      <c r="C180" s="9" t="s">
        <v>597</v>
      </c>
      <c r="D180" s="9">
        <v>16</v>
      </c>
      <c r="E180" s="9" t="s">
        <v>746</v>
      </c>
      <c r="F180" s="9" t="s">
        <v>176</v>
      </c>
      <c r="G180" s="10">
        <v>0.53749999999999998</v>
      </c>
      <c r="H180" s="9" t="s">
        <v>531</v>
      </c>
      <c r="I180" s="9">
        <v>3.95</v>
      </c>
      <c r="J180" s="9" t="s">
        <v>54</v>
      </c>
      <c r="K180" s="9">
        <v>368</v>
      </c>
      <c r="L180" s="9">
        <v>93</v>
      </c>
      <c r="M180" s="9" t="s">
        <v>22</v>
      </c>
      <c r="N180" s="9">
        <v>14</v>
      </c>
      <c r="O180" s="9" t="s">
        <v>23</v>
      </c>
      <c r="P180" s="9" t="s">
        <v>24</v>
      </c>
      <c r="Q180" s="9" t="str">
        <f t="shared" si="28"/>
        <v>None</v>
      </c>
      <c r="R180" s="9">
        <f t="shared" si="29"/>
        <v>52.999999999999972</v>
      </c>
      <c r="S180" s="9">
        <f t="shared" si="30"/>
        <v>1.9999999999999929</v>
      </c>
      <c r="T180" s="9">
        <f t="shared" si="31"/>
        <v>4.9999999999999822</v>
      </c>
      <c r="U180" s="9">
        <f t="shared" si="41"/>
        <v>30.000000000000053</v>
      </c>
      <c r="V180" s="9">
        <f t="shared" si="32"/>
        <v>12</v>
      </c>
      <c r="W180" s="9" t="str">
        <f t="shared" si="33"/>
        <v>Afternoon</v>
      </c>
      <c r="X180" s="9" t="str">
        <f t="shared" si="34"/>
        <v>Peak</v>
      </c>
      <c r="Y180" s="23">
        <f t="shared" si="35"/>
        <v>0.13166666666666643</v>
      </c>
      <c r="Z180" s="23">
        <f t="shared" si="36"/>
        <v>23.544303797468352</v>
      </c>
      <c r="AA180" s="23">
        <f t="shared" si="37"/>
        <v>0.25271739130434784</v>
      </c>
      <c r="AB180" s="9" t="str">
        <f t="shared" si="38"/>
        <v>Late</v>
      </c>
      <c r="AC180" s="9" t="str">
        <f t="shared" si="39"/>
        <v>No Delay</v>
      </c>
      <c r="AD180" s="64" t="str">
        <f t="shared" si="40"/>
        <v>Medium (2-5km)</v>
      </c>
    </row>
    <row r="181" spans="1:30" x14ac:dyDescent="0.3">
      <c r="A181" s="8" t="s">
        <v>475</v>
      </c>
      <c r="B181" s="9" t="s">
        <v>281</v>
      </c>
      <c r="C181" s="9" t="s">
        <v>594</v>
      </c>
      <c r="D181" s="9">
        <v>27</v>
      </c>
      <c r="E181" s="9" t="s">
        <v>697</v>
      </c>
      <c r="F181" s="9" t="s">
        <v>601</v>
      </c>
      <c r="G181" s="10">
        <v>0.70416666666666672</v>
      </c>
      <c r="H181" s="9" t="s">
        <v>747</v>
      </c>
      <c r="I181" s="9">
        <v>6.74</v>
      </c>
      <c r="J181" s="9" t="s">
        <v>21</v>
      </c>
      <c r="K181" s="9">
        <v>251</v>
      </c>
      <c r="L181" s="9">
        <v>113</v>
      </c>
      <c r="M181" s="9" t="s">
        <v>22</v>
      </c>
      <c r="N181" s="9">
        <v>20</v>
      </c>
      <c r="O181" s="9" t="s">
        <v>55</v>
      </c>
      <c r="P181" s="9" t="s">
        <v>24</v>
      </c>
      <c r="Q181" s="9" t="str">
        <f t="shared" si="28"/>
        <v>Restaurant Delay</v>
      </c>
      <c r="R181" s="9">
        <f t="shared" si="29"/>
        <v>75.000000000000057</v>
      </c>
      <c r="S181" s="9">
        <f t="shared" si="30"/>
        <v>6.9999999999999751</v>
      </c>
      <c r="T181" s="9">
        <f t="shared" si="31"/>
        <v>2.9999999999999893</v>
      </c>
      <c r="U181" s="9">
        <f t="shared" si="41"/>
        <v>38.000000000000028</v>
      </c>
      <c r="V181" s="9">
        <f t="shared" si="32"/>
        <v>16</v>
      </c>
      <c r="W181" s="9" t="str">
        <f t="shared" si="33"/>
        <v>Evening</v>
      </c>
      <c r="X181" s="9" t="str">
        <f t="shared" si="34"/>
        <v>Off-Peak</v>
      </c>
      <c r="Y181" s="23">
        <f t="shared" si="35"/>
        <v>0.17736842105263145</v>
      </c>
      <c r="Z181" s="23">
        <f t="shared" si="36"/>
        <v>16.765578635014837</v>
      </c>
      <c r="AA181" s="23">
        <f t="shared" si="37"/>
        <v>0.45019920318725098</v>
      </c>
      <c r="AB181" s="9" t="str">
        <f t="shared" si="38"/>
        <v>Late</v>
      </c>
      <c r="AC181" s="9" t="str">
        <f t="shared" si="39"/>
        <v>No Delay</v>
      </c>
      <c r="AD181" s="64" t="str">
        <f t="shared" si="40"/>
        <v>Long (5+km)</v>
      </c>
    </row>
    <row r="182" spans="1:30" x14ac:dyDescent="0.3">
      <c r="A182" s="8" t="s">
        <v>476</v>
      </c>
      <c r="B182" s="9" t="s">
        <v>220</v>
      </c>
      <c r="C182" s="9" t="s">
        <v>597</v>
      </c>
      <c r="D182" s="9">
        <v>19</v>
      </c>
      <c r="E182" s="9" t="s">
        <v>783</v>
      </c>
      <c r="F182" s="9" t="s">
        <v>647</v>
      </c>
      <c r="G182" s="10">
        <v>0.63611111111111107</v>
      </c>
      <c r="H182" s="9" t="s">
        <v>784</v>
      </c>
      <c r="I182" s="9">
        <v>5.96</v>
      </c>
      <c r="J182" s="9" t="s">
        <v>211</v>
      </c>
      <c r="K182" s="9">
        <v>182</v>
      </c>
      <c r="L182" s="9">
        <v>104</v>
      </c>
      <c r="M182" s="9" t="s">
        <v>22</v>
      </c>
      <c r="N182" s="9">
        <v>15</v>
      </c>
      <c r="O182" s="9" t="s">
        <v>55</v>
      </c>
      <c r="P182" s="9" t="s">
        <v>24</v>
      </c>
      <c r="Q182" s="9" t="str">
        <f t="shared" si="28"/>
        <v>None</v>
      </c>
      <c r="R182" s="9">
        <f t="shared" si="29"/>
        <v>56.999999999999957</v>
      </c>
      <c r="S182" s="9">
        <f t="shared" si="30"/>
        <v>1.9999999999999929</v>
      </c>
      <c r="T182" s="9">
        <f t="shared" si="31"/>
        <v>4.9999999999999822</v>
      </c>
      <c r="U182" s="9">
        <f t="shared" si="41"/>
        <v>31.00000000000005</v>
      </c>
      <c r="V182" s="9">
        <f t="shared" si="32"/>
        <v>14</v>
      </c>
      <c r="W182" s="9" t="str">
        <f t="shared" si="33"/>
        <v>Afternoon</v>
      </c>
      <c r="X182" s="9" t="str">
        <f t="shared" si="34"/>
        <v>Off-Peak</v>
      </c>
      <c r="Y182" s="23">
        <f t="shared" si="35"/>
        <v>0.19225806451612873</v>
      </c>
      <c r="Z182" s="23">
        <f t="shared" si="36"/>
        <v>17.449664429530202</v>
      </c>
      <c r="AA182" s="23">
        <f t="shared" si="37"/>
        <v>0.5714285714285714</v>
      </c>
      <c r="AB182" s="9" t="str">
        <f t="shared" si="38"/>
        <v>Late</v>
      </c>
      <c r="AC182" s="9" t="str">
        <f t="shared" si="39"/>
        <v>No Delay</v>
      </c>
      <c r="AD182" s="64" t="str">
        <f t="shared" si="40"/>
        <v>Long (5+km)</v>
      </c>
    </row>
    <row r="183" spans="1:30" x14ac:dyDescent="0.3">
      <c r="A183" s="8" t="s">
        <v>478</v>
      </c>
      <c r="B183" s="9" t="s">
        <v>559</v>
      </c>
      <c r="C183" s="9" t="s">
        <v>597</v>
      </c>
      <c r="D183" s="9">
        <v>14</v>
      </c>
      <c r="E183" s="9" t="s">
        <v>637</v>
      </c>
      <c r="F183" s="9" t="s">
        <v>785</v>
      </c>
      <c r="G183" s="10">
        <v>0.82916666666666672</v>
      </c>
      <c r="H183" s="9" t="s">
        <v>664</v>
      </c>
      <c r="I183" s="9">
        <v>1.69</v>
      </c>
      <c r="J183" s="9" t="s">
        <v>118</v>
      </c>
      <c r="K183" s="9">
        <v>338</v>
      </c>
      <c r="L183" s="9">
        <v>74</v>
      </c>
      <c r="M183" s="9" t="s">
        <v>22</v>
      </c>
      <c r="N183" s="9">
        <v>9</v>
      </c>
      <c r="O183" s="9" t="s">
        <v>34</v>
      </c>
      <c r="P183" s="9" t="s">
        <v>24</v>
      </c>
      <c r="Q183" s="9" t="str">
        <f t="shared" si="28"/>
        <v>Traffic</v>
      </c>
      <c r="R183" s="9">
        <f t="shared" si="29"/>
        <v>52.000000000000135</v>
      </c>
      <c r="S183" s="9">
        <f t="shared" si="30"/>
        <v>10.000000000000124</v>
      </c>
      <c r="T183" s="9">
        <f t="shared" si="31"/>
        <v>5.9999999999999787</v>
      </c>
      <c r="U183" s="9">
        <f t="shared" si="41"/>
        <v>21.999999999999922</v>
      </c>
      <c r="V183" s="9">
        <f t="shared" si="32"/>
        <v>19</v>
      </c>
      <c r="W183" s="9" t="str">
        <f t="shared" si="33"/>
        <v>Peak Night</v>
      </c>
      <c r="X183" s="9" t="str">
        <f t="shared" si="34"/>
        <v>Peak</v>
      </c>
      <c r="Y183" s="23">
        <f t="shared" si="35"/>
        <v>7.6818181818182091E-2</v>
      </c>
      <c r="Z183" s="23">
        <f t="shared" si="36"/>
        <v>43.786982248520708</v>
      </c>
      <c r="AA183" s="23">
        <f t="shared" si="37"/>
        <v>0.21893491124260356</v>
      </c>
      <c r="AB183" s="9" t="str">
        <f t="shared" si="38"/>
        <v>Late</v>
      </c>
      <c r="AC183" s="9" t="str">
        <f t="shared" si="39"/>
        <v>No Delay</v>
      </c>
      <c r="AD183" s="64" t="str">
        <f t="shared" si="40"/>
        <v>Short (0-2km)</v>
      </c>
    </row>
    <row r="184" spans="1:30" x14ac:dyDescent="0.3">
      <c r="A184" s="8" t="s">
        <v>480</v>
      </c>
      <c r="B184" s="9" t="s">
        <v>221</v>
      </c>
      <c r="C184" s="9" t="s">
        <v>597</v>
      </c>
      <c r="D184" s="9">
        <v>13</v>
      </c>
      <c r="E184" s="9" t="s">
        <v>714</v>
      </c>
      <c r="F184" s="9" t="s">
        <v>710</v>
      </c>
      <c r="G184" s="10">
        <v>0.64513888888888882</v>
      </c>
      <c r="H184" s="9" t="s">
        <v>660</v>
      </c>
      <c r="I184" s="9">
        <v>4.8499999999999996</v>
      </c>
      <c r="J184" s="9" t="s">
        <v>118</v>
      </c>
      <c r="K184" s="9">
        <v>370</v>
      </c>
      <c r="L184" s="9">
        <v>93</v>
      </c>
      <c r="M184" s="9" t="s">
        <v>22</v>
      </c>
      <c r="N184" s="9">
        <v>19</v>
      </c>
      <c r="O184" s="9" t="s">
        <v>55</v>
      </c>
      <c r="P184" s="9" t="s">
        <v>24</v>
      </c>
      <c r="Q184" s="9" t="str">
        <f t="shared" si="28"/>
        <v>None</v>
      </c>
      <c r="R184" s="9">
        <f t="shared" si="29"/>
        <v>46</v>
      </c>
      <c r="S184" s="9">
        <f t="shared" si="30"/>
        <v>1.9999999999999929</v>
      </c>
      <c r="T184" s="9">
        <f t="shared" si="31"/>
        <v>5.9999999999999787</v>
      </c>
      <c r="U184" s="9">
        <f t="shared" si="41"/>
        <v>25.000000000000071</v>
      </c>
      <c r="V184" s="9">
        <f t="shared" si="32"/>
        <v>15</v>
      </c>
      <c r="W184" s="9" t="str">
        <f t="shared" si="33"/>
        <v>Evening</v>
      </c>
      <c r="X184" s="9" t="str">
        <f t="shared" si="34"/>
        <v>Off-Peak</v>
      </c>
      <c r="Y184" s="23">
        <f t="shared" si="35"/>
        <v>0.19399999999999942</v>
      </c>
      <c r="Z184" s="23">
        <f t="shared" si="36"/>
        <v>19.175257731958766</v>
      </c>
      <c r="AA184" s="23">
        <f t="shared" si="37"/>
        <v>0.25135135135135134</v>
      </c>
      <c r="AB184" s="9" t="str">
        <f t="shared" si="38"/>
        <v>Late</v>
      </c>
      <c r="AC184" s="9" t="str">
        <f t="shared" si="39"/>
        <v>No Delay</v>
      </c>
      <c r="AD184" s="64" t="str">
        <f t="shared" si="40"/>
        <v>Medium (2-5km)</v>
      </c>
    </row>
    <row r="185" spans="1:30" x14ac:dyDescent="0.3">
      <c r="A185" s="8" t="s">
        <v>482</v>
      </c>
      <c r="B185" s="9" t="s">
        <v>270</v>
      </c>
      <c r="C185" s="9" t="s">
        <v>594</v>
      </c>
      <c r="D185" s="9">
        <v>36</v>
      </c>
      <c r="E185" s="9" t="s">
        <v>283</v>
      </c>
      <c r="F185" s="9" t="s">
        <v>425</v>
      </c>
      <c r="G185" s="10">
        <v>0.54236111111111107</v>
      </c>
      <c r="H185" s="9" t="s">
        <v>538</v>
      </c>
      <c r="I185" s="9">
        <v>1.26</v>
      </c>
      <c r="J185" s="9" t="s">
        <v>21</v>
      </c>
      <c r="K185" s="9">
        <v>191</v>
      </c>
      <c r="L185" s="9">
        <v>67</v>
      </c>
      <c r="M185" s="9" t="s">
        <v>22</v>
      </c>
      <c r="N185" s="9">
        <v>18</v>
      </c>
      <c r="O185" s="9" t="s">
        <v>23</v>
      </c>
      <c r="P185" s="9" t="s">
        <v>24</v>
      </c>
      <c r="Q185" s="9" t="str">
        <f t="shared" si="28"/>
        <v>Restaurant Delay</v>
      </c>
      <c r="R185" s="9">
        <f t="shared" si="29"/>
        <v>65.999999999999929</v>
      </c>
      <c r="S185" s="9">
        <f t="shared" si="30"/>
        <v>6.9999999999999751</v>
      </c>
      <c r="T185" s="9">
        <f t="shared" si="31"/>
        <v>1.9999999999999929</v>
      </c>
      <c r="U185" s="9">
        <f t="shared" si="41"/>
        <v>21.000000000000085</v>
      </c>
      <c r="V185" s="9">
        <f t="shared" si="32"/>
        <v>12</v>
      </c>
      <c r="W185" s="9" t="str">
        <f t="shared" si="33"/>
        <v>Afternoon</v>
      </c>
      <c r="X185" s="9" t="str">
        <f t="shared" si="34"/>
        <v>Peak</v>
      </c>
      <c r="Y185" s="23">
        <f t="shared" si="35"/>
        <v>5.9999999999999755E-2</v>
      </c>
      <c r="Z185" s="23">
        <f t="shared" si="36"/>
        <v>53.174603174603178</v>
      </c>
      <c r="AA185" s="23">
        <f t="shared" si="37"/>
        <v>0.35078534031413611</v>
      </c>
      <c r="AB185" s="9" t="str">
        <f t="shared" si="38"/>
        <v>Late</v>
      </c>
      <c r="AC185" s="9" t="str">
        <f t="shared" si="39"/>
        <v>No Delay</v>
      </c>
      <c r="AD185" s="64" t="str">
        <f t="shared" si="40"/>
        <v>Short (0-2km)</v>
      </c>
    </row>
    <row r="186" spans="1:30" x14ac:dyDescent="0.3">
      <c r="A186" s="8" t="s">
        <v>483</v>
      </c>
      <c r="B186" s="9" t="s">
        <v>266</v>
      </c>
      <c r="C186" s="9" t="s">
        <v>597</v>
      </c>
      <c r="D186" s="9">
        <v>20</v>
      </c>
      <c r="E186" s="9" t="s">
        <v>199</v>
      </c>
      <c r="F186" s="9" t="s">
        <v>143</v>
      </c>
      <c r="G186" s="10">
        <v>0.46180555555555552</v>
      </c>
      <c r="H186" s="9" t="s">
        <v>726</v>
      </c>
      <c r="I186" s="9">
        <v>3.97</v>
      </c>
      <c r="J186" s="9" t="s">
        <v>65</v>
      </c>
      <c r="K186" s="9">
        <v>300</v>
      </c>
      <c r="L186" s="9">
        <v>93</v>
      </c>
      <c r="M186" s="9" t="s">
        <v>22</v>
      </c>
      <c r="N186" s="9">
        <v>17</v>
      </c>
      <c r="O186" s="9" t="s">
        <v>23</v>
      </c>
      <c r="P186" s="9" t="s">
        <v>24</v>
      </c>
      <c r="Q186" s="9" t="str">
        <f t="shared" si="28"/>
        <v>None</v>
      </c>
      <c r="R186" s="9">
        <f t="shared" si="29"/>
        <v>55.999999999999957</v>
      </c>
      <c r="S186" s="9">
        <f t="shared" si="30"/>
        <v>0.99999999999991651</v>
      </c>
      <c r="T186" s="9">
        <f t="shared" si="31"/>
        <v>2.9999999999999893</v>
      </c>
      <c r="U186" s="9">
        <f t="shared" si="41"/>
        <v>32.000000000000043</v>
      </c>
      <c r="V186" s="9">
        <f t="shared" si="32"/>
        <v>10</v>
      </c>
      <c r="W186" s="9" t="str">
        <f t="shared" si="33"/>
        <v>Late Morning</v>
      </c>
      <c r="X186" s="9" t="str">
        <f t="shared" si="34"/>
        <v>Off-Peak</v>
      </c>
      <c r="Y186" s="23">
        <f t="shared" si="35"/>
        <v>0.12406249999999984</v>
      </c>
      <c r="Z186" s="23">
        <f t="shared" si="36"/>
        <v>23.425692695214103</v>
      </c>
      <c r="AA186" s="23">
        <f t="shared" si="37"/>
        <v>0.31</v>
      </c>
      <c r="AB186" s="9" t="str">
        <f t="shared" si="38"/>
        <v>Late</v>
      </c>
      <c r="AC186" s="9" t="str">
        <f t="shared" si="39"/>
        <v>No Delay</v>
      </c>
      <c r="AD186" s="64" t="str">
        <f t="shared" si="40"/>
        <v>Medium (2-5km)</v>
      </c>
    </row>
    <row r="187" spans="1:30" x14ac:dyDescent="0.3">
      <c r="A187" s="8" t="s">
        <v>484</v>
      </c>
      <c r="B187" s="9" t="s">
        <v>82</v>
      </c>
      <c r="C187" s="9" t="s">
        <v>597</v>
      </c>
      <c r="D187" s="9">
        <v>14</v>
      </c>
      <c r="E187" s="9" t="s">
        <v>401</v>
      </c>
      <c r="F187" s="9" t="s">
        <v>664</v>
      </c>
      <c r="G187" s="10">
        <v>0.85277777777777775</v>
      </c>
      <c r="H187" s="9" t="s">
        <v>786</v>
      </c>
      <c r="I187" s="9">
        <v>6.47</v>
      </c>
      <c r="J187" s="9" t="s">
        <v>90</v>
      </c>
      <c r="K187" s="9">
        <v>235</v>
      </c>
      <c r="L187" s="9">
        <v>122</v>
      </c>
      <c r="M187" s="9" t="s">
        <v>22</v>
      </c>
      <c r="N187" s="9">
        <v>11</v>
      </c>
      <c r="O187" s="9" t="s">
        <v>34</v>
      </c>
      <c r="P187" s="9" t="s">
        <v>24</v>
      </c>
      <c r="Q187" s="9" t="str">
        <f t="shared" si="28"/>
        <v>Traffic</v>
      </c>
      <c r="R187" s="9">
        <f t="shared" si="29"/>
        <v>67.999999999999915</v>
      </c>
      <c r="S187" s="9">
        <f t="shared" si="30"/>
        <v>1.9999999999999929</v>
      </c>
      <c r="T187" s="9">
        <f t="shared" si="31"/>
        <v>11.999999999999957</v>
      </c>
      <c r="U187" s="9">
        <f t="shared" si="41"/>
        <v>40.000000000000014</v>
      </c>
      <c r="V187" s="9">
        <f t="shared" si="32"/>
        <v>20</v>
      </c>
      <c r="W187" s="9" t="str">
        <f t="shared" si="33"/>
        <v>Peak Night</v>
      </c>
      <c r="X187" s="9" t="str">
        <f t="shared" si="34"/>
        <v>Peak</v>
      </c>
      <c r="Y187" s="23">
        <f t="shared" si="35"/>
        <v>0.16174999999999995</v>
      </c>
      <c r="Z187" s="23">
        <f t="shared" si="36"/>
        <v>18.856259659969091</v>
      </c>
      <c r="AA187" s="23">
        <f t="shared" si="37"/>
        <v>0.51914893617021274</v>
      </c>
      <c r="AB187" s="9" t="str">
        <f t="shared" si="38"/>
        <v>Late</v>
      </c>
      <c r="AC187" s="9" t="str">
        <f t="shared" si="39"/>
        <v>No Delay</v>
      </c>
      <c r="AD187" s="64" t="str">
        <f t="shared" si="40"/>
        <v>Long (5+km)</v>
      </c>
    </row>
    <row r="188" spans="1:30" x14ac:dyDescent="0.3">
      <c r="A188" s="8" t="s">
        <v>487</v>
      </c>
      <c r="B188" s="9" t="s">
        <v>787</v>
      </c>
      <c r="C188" s="9" t="s">
        <v>597</v>
      </c>
      <c r="D188" s="9">
        <v>20</v>
      </c>
      <c r="E188" s="9" t="s">
        <v>769</v>
      </c>
      <c r="F188" s="9" t="s">
        <v>769</v>
      </c>
      <c r="G188" s="10">
        <v>0.68680555555555556</v>
      </c>
      <c r="H188" s="9" t="s">
        <v>581</v>
      </c>
      <c r="I188" s="9">
        <v>7.87</v>
      </c>
      <c r="J188" s="9" t="s">
        <v>21</v>
      </c>
      <c r="K188" s="9">
        <v>380</v>
      </c>
      <c r="L188" s="9">
        <v>123</v>
      </c>
      <c r="M188" s="9" t="s">
        <v>22</v>
      </c>
      <c r="N188" s="9">
        <v>15</v>
      </c>
      <c r="O188" s="9" t="s">
        <v>55</v>
      </c>
      <c r="P188" s="9" t="s">
        <v>24</v>
      </c>
      <c r="Q188" s="9" t="str">
        <f t="shared" si="28"/>
        <v>None</v>
      </c>
      <c r="R188" s="9">
        <f t="shared" si="29"/>
        <v>65.999999999999773</v>
      </c>
      <c r="S188" s="9">
        <f t="shared" si="30"/>
        <v>0</v>
      </c>
      <c r="T188" s="9">
        <f t="shared" si="31"/>
        <v>5.9999999999999787</v>
      </c>
      <c r="U188" s="9">
        <f t="shared" si="41"/>
        <v>39.999999999999858</v>
      </c>
      <c r="V188" s="9">
        <f t="shared" si="32"/>
        <v>16</v>
      </c>
      <c r="W188" s="9" t="str">
        <f t="shared" si="33"/>
        <v>Evening</v>
      </c>
      <c r="X188" s="9" t="str">
        <f t="shared" si="34"/>
        <v>Off-Peak</v>
      </c>
      <c r="Y188" s="23">
        <f t="shared" si="35"/>
        <v>0.1967500000000007</v>
      </c>
      <c r="Z188" s="23">
        <f t="shared" si="36"/>
        <v>15.628970775095299</v>
      </c>
      <c r="AA188" s="23">
        <f t="shared" si="37"/>
        <v>0.3236842105263158</v>
      </c>
      <c r="AB188" s="9" t="str">
        <f t="shared" si="38"/>
        <v>Late</v>
      </c>
      <c r="AC188" s="9" t="str">
        <f t="shared" si="39"/>
        <v>No Delay</v>
      </c>
      <c r="AD188" s="64" t="str">
        <f t="shared" si="40"/>
        <v>Long (5+km)</v>
      </c>
    </row>
    <row r="189" spans="1:30" x14ac:dyDescent="0.3">
      <c r="A189" s="8" t="s">
        <v>488</v>
      </c>
      <c r="B189" s="9" t="s">
        <v>613</v>
      </c>
      <c r="C189" s="9" t="s">
        <v>594</v>
      </c>
      <c r="D189" s="9">
        <v>27</v>
      </c>
      <c r="E189" s="9" t="s">
        <v>781</v>
      </c>
      <c r="F189" s="9" t="s">
        <v>389</v>
      </c>
      <c r="G189" s="10">
        <v>0.47291666666666671</v>
      </c>
      <c r="H189" s="9" t="s">
        <v>134</v>
      </c>
      <c r="I189" s="9">
        <v>1.25</v>
      </c>
      <c r="J189" s="9" t="s">
        <v>211</v>
      </c>
      <c r="K189" s="9">
        <v>263</v>
      </c>
      <c r="L189" s="9">
        <v>63</v>
      </c>
      <c r="M189" s="9" t="s">
        <v>22</v>
      </c>
      <c r="N189" s="9">
        <v>16</v>
      </c>
      <c r="O189" s="9" t="s">
        <v>23</v>
      </c>
      <c r="P189" s="9" t="s">
        <v>24</v>
      </c>
      <c r="Q189" s="9" t="str">
        <f t="shared" si="28"/>
        <v>Restaurant Delay</v>
      </c>
      <c r="R189" s="9">
        <f t="shared" si="29"/>
        <v>55.000000000000043</v>
      </c>
      <c r="S189" s="9">
        <f t="shared" si="30"/>
        <v>9.000000000000048</v>
      </c>
      <c r="T189" s="9">
        <f t="shared" si="31"/>
        <v>4.9999999999999822</v>
      </c>
      <c r="U189" s="9">
        <f t="shared" si="41"/>
        <v>13.99999999999995</v>
      </c>
      <c r="V189" s="9">
        <f t="shared" si="32"/>
        <v>10</v>
      </c>
      <c r="W189" s="9" t="str">
        <f t="shared" si="33"/>
        <v>Late Morning</v>
      </c>
      <c r="X189" s="9" t="str">
        <f t="shared" si="34"/>
        <v>Off-Peak</v>
      </c>
      <c r="Y189" s="23">
        <f t="shared" si="35"/>
        <v>8.9285714285714607E-2</v>
      </c>
      <c r="Z189" s="23">
        <f t="shared" si="36"/>
        <v>50.4</v>
      </c>
      <c r="AA189" s="23">
        <f t="shared" si="37"/>
        <v>0.23954372623574144</v>
      </c>
      <c r="AB189" s="9" t="str">
        <f t="shared" si="38"/>
        <v>Late</v>
      </c>
      <c r="AC189" s="9" t="str">
        <f t="shared" si="39"/>
        <v>No Delay</v>
      </c>
      <c r="AD189" s="64" t="str">
        <f t="shared" si="40"/>
        <v>Short (0-2km)</v>
      </c>
    </row>
    <row r="190" spans="1:30" x14ac:dyDescent="0.3">
      <c r="A190" s="8" t="s">
        <v>490</v>
      </c>
      <c r="B190" s="9" t="s">
        <v>124</v>
      </c>
      <c r="C190" s="9" t="s">
        <v>597</v>
      </c>
      <c r="D190" s="9">
        <v>15</v>
      </c>
      <c r="E190" s="9" t="s">
        <v>609</v>
      </c>
      <c r="F190" s="9" t="s">
        <v>609</v>
      </c>
      <c r="G190" s="10">
        <v>0.60347222222222219</v>
      </c>
      <c r="H190" s="9" t="s">
        <v>647</v>
      </c>
      <c r="I190" s="9">
        <v>7.61</v>
      </c>
      <c r="J190" s="9" t="s">
        <v>45</v>
      </c>
      <c r="K190" s="9">
        <v>196</v>
      </c>
      <c r="L190" s="9">
        <v>124</v>
      </c>
      <c r="M190" s="9" t="s">
        <v>22</v>
      </c>
      <c r="N190" s="9">
        <v>17</v>
      </c>
      <c r="O190" s="9" t="s">
        <v>55</v>
      </c>
      <c r="P190" s="9" t="s">
        <v>24</v>
      </c>
      <c r="Q190" s="9" t="str">
        <f t="shared" si="28"/>
        <v>Distance</v>
      </c>
      <c r="R190" s="9">
        <f t="shared" si="29"/>
        <v>62.999999999999936</v>
      </c>
      <c r="S190" s="9">
        <f t="shared" si="30"/>
        <v>0</v>
      </c>
      <c r="T190" s="9">
        <f t="shared" si="31"/>
        <v>5.9999999999999787</v>
      </c>
      <c r="U190" s="9">
        <f t="shared" si="41"/>
        <v>42.000000000000014</v>
      </c>
      <c r="V190" s="9">
        <f t="shared" si="32"/>
        <v>14</v>
      </c>
      <c r="W190" s="9" t="str">
        <f t="shared" si="33"/>
        <v>Afternoon</v>
      </c>
      <c r="X190" s="9" t="str">
        <f t="shared" si="34"/>
        <v>Off-Peak</v>
      </c>
      <c r="Y190" s="23">
        <f t="shared" si="35"/>
        <v>0.18119047619047612</v>
      </c>
      <c r="Z190" s="23">
        <f t="shared" si="36"/>
        <v>16.294349540078844</v>
      </c>
      <c r="AA190" s="23">
        <f t="shared" si="37"/>
        <v>0.63265306122448983</v>
      </c>
      <c r="AB190" s="9" t="str">
        <f t="shared" si="38"/>
        <v>Late</v>
      </c>
      <c r="AC190" s="9" t="str">
        <f t="shared" si="39"/>
        <v>No Delay</v>
      </c>
      <c r="AD190" s="64" t="str">
        <f t="shared" si="40"/>
        <v>Long (5+km)</v>
      </c>
    </row>
    <row r="191" spans="1:30" x14ac:dyDescent="0.3">
      <c r="A191" s="8" t="s">
        <v>491</v>
      </c>
      <c r="B191" s="9" t="s">
        <v>287</v>
      </c>
      <c r="C191" s="9" t="s">
        <v>597</v>
      </c>
      <c r="D191" s="9">
        <v>19</v>
      </c>
      <c r="E191" s="9" t="s">
        <v>710</v>
      </c>
      <c r="F191" s="9" t="s">
        <v>710</v>
      </c>
      <c r="G191" s="10">
        <v>0.64513888888888882</v>
      </c>
      <c r="H191" s="9" t="s">
        <v>172</v>
      </c>
      <c r="I191" s="9">
        <v>4.32</v>
      </c>
      <c r="J191" s="9" t="s">
        <v>49</v>
      </c>
      <c r="K191" s="9">
        <v>388</v>
      </c>
      <c r="L191" s="9">
        <v>92</v>
      </c>
      <c r="M191" s="9" t="s">
        <v>22</v>
      </c>
      <c r="N191" s="9">
        <v>18</v>
      </c>
      <c r="O191" s="9" t="s">
        <v>55</v>
      </c>
      <c r="P191" s="9" t="s">
        <v>24</v>
      </c>
      <c r="Q191" s="9" t="str">
        <f t="shared" si="28"/>
        <v>None</v>
      </c>
      <c r="R191" s="9">
        <f t="shared" si="29"/>
        <v>50.999999999999979</v>
      </c>
      <c r="S191" s="9">
        <f t="shared" si="30"/>
        <v>0</v>
      </c>
      <c r="T191" s="9">
        <f t="shared" si="31"/>
        <v>5.9999999999999787</v>
      </c>
      <c r="U191" s="9">
        <f t="shared" si="41"/>
        <v>26.000000000000068</v>
      </c>
      <c r="V191" s="9">
        <f t="shared" si="32"/>
        <v>15</v>
      </c>
      <c r="W191" s="9" t="str">
        <f t="shared" si="33"/>
        <v>Evening</v>
      </c>
      <c r="X191" s="9" t="str">
        <f t="shared" si="34"/>
        <v>Off-Peak</v>
      </c>
      <c r="Y191" s="23">
        <f t="shared" si="35"/>
        <v>0.16615384615384574</v>
      </c>
      <c r="Z191" s="23">
        <f t="shared" si="36"/>
        <v>21.296296296296294</v>
      </c>
      <c r="AA191" s="23">
        <f t="shared" si="37"/>
        <v>0.23711340206185566</v>
      </c>
      <c r="AB191" s="9" t="str">
        <f t="shared" si="38"/>
        <v>Late</v>
      </c>
      <c r="AC191" s="9" t="str">
        <f t="shared" si="39"/>
        <v>No Delay</v>
      </c>
      <c r="AD191" s="64" t="str">
        <f t="shared" si="40"/>
        <v>Medium (2-5km)</v>
      </c>
    </row>
    <row r="192" spans="1:30" x14ac:dyDescent="0.3">
      <c r="A192" s="8" t="s">
        <v>494</v>
      </c>
      <c r="B192" s="9" t="s">
        <v>140</v>
      </c>
      <c r="C192" s="9" t="s">
        <v>597</v>
      </c>
      <c r="D192" s="9">
        <v>16</v>
      </c>
      <c r="E192" s="9" t="s">
        <v>556</v>
      </c>
      <c r="F192" s="9" t="s">
        <v>335</v>
      </c>
      <c r="G192" s="10">
        <v>0.84513888888888888</v>
      </c>
      <c r="H192" s="9" t="s">
        <v>731</v>
      </c>
      <c r="I192" s="9">
        <v>3.37</v>
      </c>
      <c r="J192" s="9" t="s">
        <v>122</v>
      </c>
      <c r="K192" s="9">
        <v>281</v>
      </c>
      <c r="L192" s="9">
        <v>93</v>
      </c>
      <c r="M192" s="9" t="s">
        <v>22</v>
      </c>
      <c r="N192" s="9">
        <v>12</v>
      </c>
      <c r="O192" s="9" t="s">
        <v>34</v>
      </c>
      <c r="P192" s="9" t="s">
        <v>24</v>
      </c>
      <c r="Q192" s="9" t="str">
        <f t="shared" si="28"/>
        <v>Traffic</v>
      </c>
      <c r="R192" s="9">
        <f t="shared" si="29"/>
        <v>56.999999999999957</v>
      </c>
      <c r="S192" s="9">
        <f t="shared" si="30"/>
        <v>2.9999999999999893</v>
      </c>
      <c r="T192" s="9">
        <f t="shared" si="31"/>
        <v>6.9999999999999751</v>
      </c>
      <c r="U192" s="9">
        <f t="shared" si="41"/>
        <v>31.00000000000005</v>
      </c>
      <c r="V192" s="9">
        <f t="shared" si="32"/>
        <v>19</v>
      </c>
      <c r="W192" s="9" t="str">
        <f t="shared" si="33"/>
        <v>Peak Night</v>
      </c>
      <c r="X192" s="9" t="str">
        <f t="shared" si="34"/>
        <v>Peak</v>
      </c>
      <c r="Y192" s="23">
        <f t="shared" si="35"/>
        <v>0.10870967741935467</v>
      </c>
      <c r="Z192" s="23">
        <f t="shared" si="36"/>
        <v>27.596439169139465</v>
      </c>
      <c r="AA192" s="23">
        <f t="shared" si="37"/>
        <v>0.33096085409252668</v>
      </c>
      <c r="AB192" s="9" t="str">
        <f t="shared" si="38"/>
        <v>Late</v>
      </c>
      <c r="AC192" s="9" t="str">
        <f t="shared" si="39"/>
        <v>No Delay</v>
      </c>
      <c r="AD192" s="64" t="str">
        <f t="shared" si="40"/>
        <v>Medium (2-5km)</v>
      </c>
    </row>
    <row r="193" spans="1:30" x14ac:dyDescent="0.3">
      <c r="A193" s="8" t="s">
        <v>496</v>
      </c>
      <c r="B193" s="9" t="s">
        <v>110</v>
      </c>
      <c r="C193" s="9" t="s">
        <v>597</v>
      </c>
      <c r="D193" s="9">
        <v>18</v>
      </c>
      <c r="E193" s="9" t="s">
        <v>445</v>
      </c>
      <c r="F193" s="9" t="s">
        <v>150</v>
      </c>
      <c r="G193" s="10">
        <v>0.8388888888888888</v>
      </c>
      <c r="H193" s="9" t="s">
        <v>674</v>
      </c>
      <c r="I193" s="9">
        <v>5.76</v>
      </c>
      <c r="J193" s="9" t="s">
        <v>54</v>
      </c>
      <c r="K193" s="9">
        <v>192</v>
      </c>
      <c r="L193" s="9">
        <v>121</v>
      </c>
      <c r="M193" s="9" t="s">
        <v>22</v>
      </c>
      <c r="N193" s="9">
        <v>11</v>
      </c>
      <c r="O193" s="9" t="s">
        <v>34</v>
      </c>
      <c r="P193" s="9" t="s">
        <v>24</v>
      </c>
      <c r="Q193" s="9" t="str">
        <f t="shared" si="28"/>
        <v>Traffic</v>
      </c>
      <c r="R193" s="9">
        <f t="shared" si="29"/>
        <v>75.000000000000057</v>
      </c>
      <c r="S193" s="9">
        <f t="shared" si="30"/>
        <v>2.9999999999998295</v>
      </c>
      <c r="T193" s="9">
        <f t="shared" si="31"/>
        <v>9.9999999999999645</v>
      </c>
      <c r="U193" s="9">
        <f t="shared" si="41"/>
        <v>44.000000000000163</v>
      </c>
      <c r="V193" s="9">
        <f t="shared" si="32"/>
        <v>19</v>
      </c>
      <c r="W193" s="9" t="str">
        <f t="shared" si="33"/>
        <v>Peak Night</v>
      </c>
      <c r="X193" s="9" t="str">
        <f t="shared" si="34"/>
        <v>Peak</v>
      </c>
      <c r="Y193" s="23">
        <f t="shared" si="35"/>
        <v>0.13090909090909042</v>
      </c>
      <c r="Z193" s="23">
        <f t="shared" si="36"/>
        <v>21.006944444444446</v>
      </c>
      <c r="AA193" s="23">
        <f t="shared" si="37"/>
        <v>0.63020833333333337</v>
      </c>
      <c r="AB193" s="9" t="str">
        <f t="shared" si="38"/>
        <v>Late</v>
      </c>
      <c r="AC193" s="9" t="str">
        <f t="shared" si="39"/>
        <v>No Delay</v>
      </c>
      <c r="AD193" s="64" t="str">
        <f t="shared" si="40"/>
        <v>Long (5+km)</v>
      </c>
    </row>
    <row r="194" spans="1:30" x14ac:dyDescent="0.3">
      <c r="A194" s="8" t="s">
        <v>497</v>
      </c>
      <c r="B194" s="9" t="s">
        <v>355</v>
      </c>
      <c r="C194" s="9" t="s">
        <v>597</v>
      </c>
      <c r="D194" s="9">
        <v>16</v>
      </c>
      <c r="E194" s="9" t="s">
        <v>521</v>
      </c>
      <c r="F194" s="9" t="s">
        <v>81</v>
      </c>
      <c r="G194" s="10">
        <v>0.80625000000000002</v>
      </c>
      <c r="H194" s="9" t="s">
        <v>773</v>
      </c>
      <c r="I194" s="9">
        <v>2.81</v>
      </c>
      <c r="J194" s="9" t="s">
        <v>76</v>
      </c>
      <c r="K194" s="9">
        <v>350</v>
      </c>
      <c r="L194" s="9">
        <v>82</v>
      </c>
      <c r="M194" s="9" t="s">
        <v>77</v>
      </c>
      <c r="N194" s="9">
        <v>16</v>
      </c>
      <c r="O194" s="9" t="s">
        <v>23</v>
      </c>
      <c r="P194" s="9" t="s">
        <v>78</v>
      </c>
      <c r="Q194" s="9" t="str">
        <f t="shared" si="28"/>
        <v>Restaurant Delay</v>
      </c>
      <c r="R194" s="9">
        <f t="shared" si="29"/>
        <v>47.999999999999986</v>
      </c>
      <c r="S194" s="9">
        <f t="shared" si="30"/>
        <v>2.0000000000001528</v>
      </c>
      <c r="T194" s="9">
        <f t="shared" si="31"/>
        <v>5.9999999999999787</v>
      </c>
      <c r="U194" s="9">
        <f t="shared" si="41"/>
        <v>23.999999999999915</v>
      </c>
      <c r="V194" s="9">
        <f t="shared" si="32"/>
        <v>18</v>
      </c>
      <c r="W194" s="9" t="str">
        <f t="shared" si="33"/>
        <v>Peak Night</v>
      </c>
      <c r="X194" s="9" t="str">
        <f t="shared" si="34"/>
        <v>Peak</v>
      </c>
      <c r="Y194" s="23">
        <f t="shared" si="35"/>
        <v>0.11708333333333375</v>
      </c>
      <c r="Z194" s="23">
        <f t="shared" si="36"/>
        <v>29.181494661921707</v>
      </c>
      <c r="AA194" s="23">
        <f t="shared" si="37"/>
        <v>0.23428571428571429</v>
      </c>
      <c r="AB194" s="9" t="str">
        <f t="shared" si="38"/>
        <v>Late</v>
      </c>
      <c r="AC194" s="9" t="str">
        <f t="shared" si="39"/>
        <v>Restaurant Delay</v>
      </c>
      <c r="AD194" s="64" t="str">
        <f t="shared" si="40"/>
        <v>Medium (2-5km)</v>
      </c>
    </row>
    <row r="195" spans="1:30" x14ac:dyDescent="0.3">
      <c r="A195" s="8" t="s">
        <v>498</v>
      </c>
      <c r="B195" s="9" t="s">
        <v>571</v>
      </c>
      <c r="C195" s="9" t="s">
        <v>597</v>
      </c>
      <c r="D195" s="9">
        <v>13</v>
      </c>
      <c r="E195" s="9" t="s">
        <v>692</v>
      </c>
      <c r="F195" s="9" t="s">
        <v>229</v>
      </c>
      <c r="G195" s="10">
        <v>0.75347222222222221</v>
      </c>
      <c r="H195" s="9" t="s">
        <v>645</v>
      </c>
      <c r="I195" s="9">
        <v>2.46</v>
      </c>
      <c r="J195" s="9" t="s">
        <v>65</v>
      </c>
      <c r="K195" s="9">
        <v>328</v>
      </c>
      <c r="L195" s="9">
        <v>77</v>
      </c>
      <c r="M195" s="9" t="s">
        <v>22</v>
      </c>
      <c r="N195" s="9">
        <v>16</v>
      </c>
      <c r="O195" s="9" t="s">
        <v>23</v>
      </c>
      <c r="P195" s="9" t="s">
        <v>24</v>
      </c>
      <c r="Q195" s="9" t="str">
        <f t="shared" ref="Q195:Q251" si="42">IF(M195="Failed",
IF(O195="High","Traffic",
IF(N195&lt;10,"No Rider","Restaurant Delay")),
IF(((H195-B195)*1440 - (D195 + I195*5))&lt;=7,"None",
IF(O195="High","Traffic",
IF(N195&lt;10,"No Rider",
IF(C195="Bulk","Restaurant Delay",
IF(I195&gt;=6,"Distance","None"))))))</f>
        <v>None</v>
      </c>
      <c r="R195" s="9">
        <f t="shared" ref="R195:R251" si="43">(H195-B195)*1440</f>
        <v>42.999999999999844</v>
      </c>
      <c r="S195" s="9">
        <f t="shared" ref="S195:S251" si="44">(F195-E195)*1440</f>
        <v>2.9999999999999893</v>
      </c>
      <c r="T195" s="9">
        <f t="shared" ref="T195:T251" si="45">(G195-F195)*1440</f>
        <v>0.99999999999999645</v>
      </c>
      <c r="U195" s="9">
        <f t="shared" si="41"/>
        <v>25.999999999999908</v>
      </c>
      <c r="V195" s="9">
        <f t="shared" ref="V195:V251" si="46">HOUR(B195)</f>
        <v>17</v>
      </c>
      <c r="W195" s="9" t="str">
        <f t="shared" ref="W195:W251" si="47">IF(HOUR(B195)&gt;=10,IF(HOUR(B195)&lt;12,"Late Morning",IF(HOUR(B195)&lt;15,"Afternoon",IF(HOUR(B195)&lt;18,"Evening",IF(HOUR(B195)&lt;21,"Peak Night","Late Night")))),"Morning")</f>
        <v>Evening</v>
      </c>
      <c r="X195" s="9" t="str">
        <f t="shared" ref="X195:X251" si="48">IF(OR(AND(HOUR(B195)&gt;=12,HOUR(B195)&lt;14),AND(HOUR(B195)&gt;=17,HOUR(B195)&lt;21)),"Peak","Off-Peak")</f>
        <v>Peak</v>
      </c>
      <c r="Y195" s="23">
        <f t="shared" ref="Y195:Y251" si="49">I195/U195</f>
        <v>9.4615384615384948E-2</v>
      </c>
      <c r="Z195" s="23">
        <f t="shared" ref="Z195:Z251" si="50">L195/I195</f>
        <v>31.300813008130081</v>
      </c>
      <c r="AA195" s="23">
        <f t="shared" ref="AA195:AA251" si="51">L195/K195</f>
        <v>0.2347560975609756</v>
      </c>
      <c r="AB195" s="9" t="str">
        <f t="shared" ref="AB195:AB251" si="52">IF((H195-B195)*1440&gt;45,"Late","On-Time")</f>
        <v>On-Time</v>
      </c>
      <c r="AC195" s="9" t="str">
        <f t="shared" ref="AC195:AC251" si="53">IF(P195="Yes",Q195,"No Delay")</f>
        <v>No Delay</v>
      </c>
      <c r="AD195" s="64" t="str">
        <f t="shared" ref="AD195:AD251" si="54">IF(I195&lt;=2,"Short (0-2km)",IF(I195&lt;=5,"Medium (2-5km)","Long (5+km)"))</f>
        <v>Medium (2-5km)</v>
      </c>
    </row>
    <row r="196" spans="1:30" x14ac:dyDescent="0.3">
      <c r="A196" s="8" t="s">
        <v>500</v>
      </c>
      <c r="B196" s="9" t="s">
        <v>744</v>
      </c>
      <c r="C196" s="9" t="s">
        <v>597</v>
      </c>
      <c r="D196" s="9">
        <v>10</v>
      </c>
      <c r="E196" s="9" t="s">
        <v>52</v>
      </c>
      <c r="F196" s="9" t="s">
        <v>52</v>
      </c>
      <c r="G196" s="10">
        <v>0.7</v>
      </c>
      <c r="H196" s="9" t="s">
        <v>504</v>
      </c>
      <c r="I196" s="9">
        <v>3.49</v>
      </c>
      <c r="J196" s="9" t="s">
        <v>99</v>
      </c>
      <c r="K196" s="9">
        <v>288</v>
      </c>
      <c r="L196" s="9">
        <v>79</v>
      </c>
      <c r="M196" s="9" t="s">
        <v>22</v>
      </c>
      <c r="N196" s="9">
        <v>20</v>
      </c>
      <c r="O196" s="9" t="s">
        <v>55</v>
      </c>
      <c r="P196" s="9" t="s">
        <v>24</v>
      </c>
      <c r="Q196" s="9" t="str">
        <f t="shared" si="42"/>
        <v>None</v>
      </c>
      <c r="R196" s="9">
        <f t="shared" si="43"/>
        <v>34.000000000000043</v>
      </c>
      <c r="S196" s="9">
        <f t="shared" si="44"/>
        <v>0</v>
      </c>
      <c r="T196" s="9">
        <f t="shared" si="45"/>
        <v>4.9999999999999822</v>
      </c>
      <c r="U196" s="9">
        <f t="shared" ref="U196:U251" si="55">(H196-G196)*1440</f>
        <v>19.000000000000092</v>
      </c>
      <c r="V196" s="9">
        <f t="shared" si="46"/>
        <v>16</v>
      </c>
      <c r="W196" s="9" t="str">
        <f t="shared" si="47"/>
        <v>Evening</v>
      </c>
      <c r="X196" s="9" t="str">
        <f t="shared" si="48"/>
        <v>Off-Peak</v>
      </c>
      <c r="Y196" s="23">
        <f t="shared" si="49"/>
        <v>0.18368421052631489</v>
      </c>
      <c r="Z196" s="23">
        <f t="shared" si="50"/>
        <v>22.636103151862464</v>
      </c>
      <c r="AA196" s="23">
        <f t="shared" si="51"/>
        <v>0.27430555555555558</v>
      </c>
      <c r="AB196" s="9" t="str">
        <f t="shared" si="52"/>
        <v>On-Time</v>
      </c>
      <c r="AC196" s="9" t="str">
        <f t="shared" si="53"/>
        <v>No Delay</v>
      </c>
      <c r="AD196" s="64" t="str">
        <f t="shared" si="54"/>
        <v>Medium (2-5km)</v>
      </c>
    </row>
    <row r="197" spans="1:30" x14ac:dyDescent="0.3">
      <c r="A197" s="8" t="s">
        <v>502</v>
      </c>
      <c r="B197" s="9" t="s">
        <v>636</v>
      </c>
      <c r="C197" s="9" t="s">
        <v>597</v>
      </c>
      <c r="D197" s="9">
        <v>15</v>
      </c>
      <c r="E197" s="9" t="s">
        <v>663</v>
      </c>
      <c r="F197" s="9" t="s">
        <v>663</v>
      </c>
      <c r="G197" s="10">
        <v>0.64861111111111114</v>
      </c>
      <c r="H197" s="9" t="s">
        <v>626</v>
      </c>
      <c r="I197" s="9">
        <v>5.12</v>
      </c>
      <c r="J197" s="9" t="s">
        <v>129</v>
      </c>
      <c r="K197" s="9">
        <v>170</v>
      </c>
      <c r="L197" s="9">
        <v>98</v>
      </c>
      <c r="M197" s="9" t="s">
        <v>22</v>
      </c>
      <c r="N197" s="9">
        <v>17</v>
      </c>
      <c r="O197" s="9" t="s">
        <v>55</v>
      </c>
      <c r="P197" s="9" t="s">
        <v>24</v>
      </c>
      <c r="Q197" s="9" t="str">
        <f t="shared" si="42"/>
        <v>None</v>
      </c>
      <c r="R197" s="9">
        <f t="shared" si="43"/>
        <v>49.000000000000142</v>
      </c>
      <c r="S197" s="9">
        <f t="shared" si="44"/>
        <v>0</v>
      </c>
      <c r="T197" s="9">
        <f t="shared" si="45"/>
        <v>5.9999999999999787</v>
      </c>
      <c r="U197" s="9">
        <f t="shared" si="55"/>
        <v>28.00000000000006</v>
      </c>
      <c r="V197" s="9">
        <f t="shared" si="46"/>
        <v>15</v>
      </c>
      <c r="W197" s="9" t="str">
        <f t="shared" si="47"/>
        <v>Evening</v>
      </c>
      <c r="X197" s="9" t="str">
        <f t="shared" si="48"/>
        <v>Off-Peak</v>
      </c>
      <c r="Y197" s="23">
        <f t="shared" si="49"/>
        <v>0.18285714285714247</v>
      </c>
      <c r="Z197" s="23">
        <f t="shared" si="50"/>
        <v>19.140625</v>
      </c>
      <c r="AA197" s="23">
        <f t="shared" si="51"/>
        <v>0.57647058823529407</v>
      </c>
      <c r="AB197" s="9" t="str">
        <f t="shared" si="52"/>
        <v>Late</v>
      </c>
      <c r="AC197" s="9" t="str">
        <f t="shared" si="53"/>
        <v>No Delay</v>
      </c>
      <c r="AD197" s="64" t="str">
        <f t="shared" si="54"/>
        <v>Long (5+km)</v>
      </c>
    </row>
    <row r="198" spans="1:30" x14ac:dyDescent="0.3">
      <c r="A198" s="8" t="s">
        <v>505</v>
      </c>
      <c r="B198" s="9" t="s">
        <v>375</v>
      </c>
      <c r="C198" s="9" t="s">
        <v>597</v>
      </c>
      <c r="D198" s="9">
        <v>20</v>
      </c>
      <c r="E198" s="9" t="s">
        <v>278</v>
      </c>
      <c r="F198" s="9" t="s">
        <v>279</v>
      </c>
      <c r="G198" s="10">
        <v>0.51736111111111116</v>
      </c>
      <c r="H198" s="9" t="s">
        <v>382</v>
      </c>
      <c r="I198" s="9">
        <v>6.47</v>
      </c>
      <c r="J198" s="9" t="s">
        <v>129</v>
      </c>
      <c r="K198" s="9">
        <v>305</v>
      </c>
      <c r="L198" s="9">
        <v>115</v>
      </c>
      <c r="M198" s="9" t="s">
        <v>22</v>
      </c>
      <c r="N198" s="9">
        <v>12</v>
      </c>
      <c r="O198" s="9" t="s">
        <v>23</v>
      </c>
      <c r="P198" s="9" t="s">
        <v>24</v>
      </c>
      <c r="Q198" s="9" t="str">
        <f t="shared" si="42"/>
        <v>Distance</v>
      </c>
      <c r="R198" s="9">
        <f t="shared" si="43"/>
        <v>67.000000000000085</v>
      </c>
      <c r="S198" s="9">
        <f t="shared" si="44"/>
        <v>1.9999999999999929</v>
      </c>
      <c r="T198" s="9">
        <f t="shared" si="45"/>
        <v>0.99999999999999645</v>
      </c>
      <c r="U198" s="9">
        <f t="shared" si="55"/>
        <v>44</v>
      </c>
      <c r="V198" s="9">
        <f t="shared" si="46"/>
        <v>12</v>
      </c>
      <c r="W198" s="9" t="str">
        <f t="shared" si="47"/>
        <v>Afternoon</v>
      </c>
      <c r="X198" s="9" t="str">
        <f t="shared" si="48"/>
        <v>Peak</v>
      </c>
      <c r="Y198" s="23">
        <f t="shared" si="49"/>
        <v>0.14704545454545453</v>
      </c>
      <c r="Z198" s="23">
        <f t="shared" si="50"/>
        <v>17.77434312210201</v>
      </c>
      <c r="AA198" s="23">
        <f t="shared" si="51"/>
        <v>0.37704918032786883</v>
      </c>
      <c r="AB198" s="9" t="str">
        <f t="shared" si="52"/>
        <v>Late</v>
      </c>
      <c r="AC198" s="9" t="str">
        <f t="shared" si="53"/>
        <v>No Delay</v>
      </c>
      <c r="AD198" s="64" t="str">
        <f t="shared" si="54"/>
        <v>Long (5+km)</v>
      </c>
    </row>
    <row r="199" spans="1:30" x14ac:dyDescent="0.3">
      <c r="A199" s="8" t="s">
        <v>507</v>
      </c>
      <c r="B199" s="9" t="s">
        <v>699</v>
      </c>
      <c r="C199" s="9" t="s">
        <v>594</v>
      </c>
      <c r="D199" s="9">
        <v>30</v>
      </c>
      <c r="E199" s="9" t="s">
        <v>113</v>
      </c>
      <c r="F199" s="9" t="s">
        <v>262</v>
      </c>
      <c r="G199" s="10">
        <v>0.61111111111111105</v>
      </c>
      <c r="H199" s="9" t="s">
        <v>206</v>
      </c>
      <c r="I199" s="9">
        <v>6.25</v>
      </c>
      <c r="J199" s="9" t="s">
        <v>40</v>
      </c>
      <c r="K199" s="9">
        <v>225</v>
      </c>
      <c r="L199" s="9">
        <v>116</v>
      </c>
      <c r="M199" s="9" t="s">
        <v>22</v>
      </c>
      <c r="N199" s="9">
        <v>18</v>
      </c>
      <c r="O199" s="9" t="s">
        <v>23</v>
      </c>
      <c r="P199" s="9" t="s">
        <v>24</v>
      </c>
      <c r="Q199" s="9" t="str">
        <f t="shared" si="42"/>
        <v>Restaurant Delay</v>
      </c>
      <c r="R199" s="9">
        <f t="shared" si="43"/>
        <v>86.999999999999858</v>
      </c>
      <c r="S199" s="9">
        <f t="shared" si="44"/>
        <v>9.9999999999999645</v>
      </c>
      <c r="T199" s="9">
        <f t="shared" si="45"/>
        <v>1.9999999999999929</v>
      </c>
      <c r="U199" s="9">
        <f t="shared" si="55"/>
        <v>45</v>
      </c>
      <c r="V199" s="9">
        <f t="shared" si="46"/>
        <v>13</v>
      </c>
      <c r="W199" s="9" t="str">
        <f t="shared" si="47"/>
        <v>Afternoon</v>
      </c>
      <c r="X199" s="9" t="str">
        <f t="shared" si="48"/>
        <v>Peak</v>
      </c>
      <c r="Y199" s="23">
        <f t="shared" si="49"/>
        <v>0.1388888888888889</v>
      </c>
      <c r="Z199" s="23">
        <f t="shared" si="50"/>
        <v>18.559999999999999</v>
      </c>
      <c r="AA199" s="23">
        <f t="shared" si="51"/>
        <v>0.51555555555555554</v>
      </c>
      <c r="AB199" s="9" t="str">
        <f t="shared" si="52"/>
        <v>Late</v>
      </c>
      <c r="AC199" s="9" t="str">
        <f t="shared" si="53"/>
        <v>No Delay</v>
      </c>
      <c r="AD199" s="64" t="str">
        <f t="shared" si="54"/>
        <v>Long (5+km)</v>
      </c>
    </row>
    <row r="200" spans="1:30" x14ac:dyDescent="0.3">
      <c r="A200" s="8" t="s">
        <v>510</v>
      </c>
      <c r="B200" s="9" t="s">
        <v>247</v>
      </c>
      <c r="C200" s="9" t="s">
        <v>597</v>
      </c>
      <c r="D200" s="9">
        <v>17</v>
      </c>
      <c r="E200" s="9" t="s">
        <v>37</v>
      </c>
      <c r="F200" s="9" t="s">
        <v>313</v>
      </c>
      <c r="G200" s="10">
        <v>0.72986111111111107</v>
      </c>
      <c r="H200" s="9" t="s">
        <v>596</v>
      </c>
      <c r="I200" s="9">
        <v>7.58</v>
      </c>
      <c r="J200" s="9" t="s">
        <v>99</v>
      </c>
      <c r="K200" s="9">
        <v>305</v>
      </c>
      <c r="L200" s="9">
        <v>125</v>
      </c>
      <c r="M200" s="9" t="s">
        <v>22</v>
      </c>
      <c r="N200" s="9">
        <v>18</v>
      </c>
      <c r="O200" s="9" t="s">
        <v>23</v>
      </c>
      <c r="P200" s="9" t="s">
        <v>24</v>
      </c>
      <c r="Q200" s="9" t="str">
        <f t="shared" si="42"/>
        <v>Distance</v>
      </c>
      <c r="R200" s="9">
        <f t="shared" si="43"/>
        <v>68.999999999999915</v>
      </c>
      <c r="S200" s="9">
        <f t="shared" si="44"/>
        <v>2.9999999999999893</v>
      </c>
      <c r="T200" s="9">
        <f t="shared" si="45"/>
        <v>0.99999999999999645</v>
      </c>
      <c r="U200" s="9">
        <f t="shared" si="55"/>
        <v>47.999999999999986</v>
      </c>
      <c r="V200" s="9">
        <f t="shared" si="46"/>
        <v>17</v>
      </c>
      <c r="W200" s="9" t="str">
        <f t="shared" si="47"/>
        <v>Evening</v>
      </c>
      <c r="X200" s="9" t="str">
        <f t="shared" si="48"/>
        <v>Peak</v>
      </c>
      <c r="Y200" s="23">
        <f t="shared" si="49"/>
        <v>0.15791666666666671</v>
      </c>
      <c r="Z200" s="23">
        <f t="shared" si="50"/>
        <v>16.490765171503959</v>
      </c>
      <c r="AA200" s="23">
        <f t="shared" si="51"/>
        <v>0.4098360655737705</v>
      </c>
      <c r="AB200" s="9" t="str">
        <f t="shared" si="52"/>
        <v>Late</v>
      </c>
      <c r="AC200" s="9" t="str">
        <f t="shared" si="53"/>
        <v>No Delay</v>
      </c>
      <c r="AD200" s="64" t="str">
        <f t="shared" si="54"/>
        <v>Long (5+km)</v>
      </c>
    </row>
    <row r="201" spans="1:30" x14ac:dyDescent="0.3">
      <c r="A201" s="8" t="s">
        <v>512</v>
      </c>
      <c r="B201" s="9" t="s">
        <v>101</v>
      </c>
      <c r="C201" s="9" t="s">
        <v>597</v>
      </c>
      <c r="D201" s="9">
        <v>13</v>
      </c>
      <c r="E201" s="9" t="s">
        <v>778</v>
      </c>
      <c r="F201" s="9" t="s">
        <v>179</v>
      </c>
      <c r="G201" s="10">
        <v>0.59930555555555554</v>
      </c>
      <c r="H201" s="9" t="s">
        <v>371</v>
      </c>
      <c r="I201" s="9">
        <v>3.66</v>
      </c>
      <c r="J201" s="9" t="s">
        <v>177</v>
      </c>
      <c r="K201" s="9">
        <v>226</v>
      </c>
      <c r="L201" s="9">
        <v>84</v>
      </c>
      <c r="M201" s="9" t="s">
        <v>22</v>
      </c>
      <c r="N201" s="9">
        <v>20</v>
      </c>
      <c r="O201" s="9" t="s">
        <v>55</v>
      </c>
      <c r="P201" s="9" t="s">
        <v>24</v>
      </c>
      <c r="Q201" s="9" t="str">
        <f t="shared" si="42"/>
        <v>None</v>
      </c>
      <c r="R201" s="9">
        <f t="shared" si="43"/>
        <v>42.000000000000014</v>
      </c>
      <c r="S201" s="9">
        <f t="shared" si="44"/>
        <v>0.99999999999999645</v>
      </c>
      <c r="T201" s="9">
        <f t="shared" si="45"/>
        <v>2.9999999999999893</v>
      </c>
      <c r="U201" s="9">
        <f t="shared" si="55"/>
        <v>25.000000000000071</v>
      </c>
      <c r="V201" s="9">
        <f t="shared" si="46"/>
        <v>14</v>
      </c>
      <c r="W201" s="9" t="str">
        <f t="shared" si="47"/>
        <v>Afternoon</v>
      </c>
      <c r="X201" s="9" t="str">
        <f t="shared" si="48"/>
        <v>Off-Peak</v>
      </c>
      <c r="Y201" s="23">
        <f t="shared" si="49"/>
        <v>0.14639999999999959</v>
      </c>
      <c r="Z201" s="23">
        <f t="shared" si="50"/>
        <v>22.950819672131146</v>
      </c>
      <c r="AA201" s="23">
        <f t="shared" si="51"/>
        <v>0.37168141592920356</v>
      </c>
      <c r="AB201" s="9" t="str">
        <f t="shared" si="52"/>
        <v>On-Time</v>
      </c>
      <c r="AC201" s="9" t="str">
        <f t="shared" si="53"/>
        <v>No Delay</v>
      </c>
      <c r="AD201" s="64" t="str">
        <f t="shared" si="54"/>
        <v>Medium (2-5km)</v>
      </c>
    </row>
    <row r="202" spans="1:30" x14ac:dyDescent="0.3">
      <c r="A202" s="8" t="s">
        <v>513</v>
      </c>
      <c r="B202" s="9" t="s">
        <v>789</v>
      </c>
      <c r="C202" s="9" t="s">
        <v>597</v>
      </c>
      <c r="D202" s="9">
        <v>20</v>
      </c>
      <c r="E202" s="9" t="s">
        <v>751</v>
      </c>
      <c r="F202" s="9" t="s">
        <v>174</v>
      </c>
      <c r="G202" s="10">
        <v>0.43541666666666667</v>
      </c>
      <c r="H202" s="9" t="s">
        <v>165</v>
      </c>
      <c r="I202" s="9">
        <v>4.49</v>
      </c>
      <c r="J202" s="9" t="s">
        <v>21</v>
      </c>
      <c r="K202" s="9">
        <v>261</v>
      </c>
      <c r="L202" s="9">
        <v>97</v>
      </c>
      <c r="M202" s="9" t="s">
        <v>77</v>
      </c>
      <c r="N202" s="9">
        <v>14</v>
      </c>
      <c r="O202" s="9" t="s">
        <v>23</v>
      </c>
      <c r="P202" s="9" t="s">
        <v>78</v>
      </c>
      <c r="Q202" s="9" t="str">
        <f t="shared" si="42"/>
        <v>Restaurant Delay</v>
      </c>
      <c r="R202" s="9">
        <f t="shared" si="43"/>
        <v>57.999999999999957</v>
      </c>
      <c r="S202" s="9">
        <f t="shared" si="44"/>
        <v>1.0000000000000764</v>
      </c>
      <c r="T202" s="9">
        <f t="shared" si="45"/>
        <v>4.9999999999999822</v>
      </c>
      <c r="U202" s="9">
        <f t="shared" si="55"/>
        <v>31.999999999999964</v>
      </c>
      <c r="V202" s="9">
        <f t="shared" si="46"/>
        <v>10</v>
      </c>
      <c r="W202" s="9" t="str">
        <f t="shared" si="47"/>
        <v>Late Morning</v>
      </c>
      <c r="X202" s="9" t="str">
        <f t="shared" si="48"/>
        <v>Off-Peak</v>
      </c>
      <c r="Y202" s="23">
        <f t="shared" si="49"/>
        <v>0.14031250000000017</v>
      </c>
      <c r="Z202" s="23">
        <f t="shared" si="50"/>
        <v>21.603563474387528</v>
      </c>
      <c r="AA202" s="23">
        <f t="shared" si="51"/>
        <v>0.37164750957854409</v>
      </c>
      <c r="AB202" s="9" t="str">
        <f t="shared" si="52"/>
        <v>Late</v>
      </c>
      <c r="AC202" s="9" t="str">
        <f t="shared" si="53"/>
        <v>Restaurant Delay</v>
      </c>
      <c r="AD202" s="64" t="str">
        <f t="shared" si="54"/>
        <v>Medium (2-5km)</v>
      </c>
    </row>
    <row r="203" spans="1:30" x14ac:dyDescent="0.3">
      <c r="A203" s="8" t="s">
        <v>514</v>
      </c>
      <c r="B203" s="9" t="s">
        <v>97</v>
      </c>
      <c r="C203" s="9" t="s">
        <v>597</v>
      </c>
      <c r="D203" s="9">
        <v>18</v>
      </c>
      <c r="E203" s="9" t="s">
        <v>196</v>
      </c>
      <c r="F203" s="9" t="s">
        <v>196</v>
      </c>
      <c r="G203" s="10">
        <v>0.67361111111111105</v>
      </c>
      <c r="H203" s="9" t="s">
        <v>486</v>
      </c>
      <c r="I203" s="9">
        <v>7.57</v>
      </c>
      <c r="J203" s="9" t="s">
        <v>21</v>
      </c>
      <c r="K203" s="9">
        <v>224</v>
      </c>
      <c r="L203" s="9">
        <v>122</v>
      </c>
      <c r="M203" s="9" t="s">
        <v>22</v>
      </c>
      <c r="N203" s="9">
        <v>18</v>
      </c>
      <c r="O203" s="9" t="s">
        <v>55</v>
      </c>
      <c r="P203" s="9" t="s">
        <v>24</v>
      </c>
      <c r="Q203" s="9" t="str">
        <f t="shared" si="42"/>
        <v>Distance</v>
      </c>
      <c r="R203" s="9">
        <f t="shared" si="43"/>
        <v>63.999999999999929</v>
      </c>
      <c r="S203" s="9">
        <f t="shared" si="44"/>
        <v>0</v>
      </c>
      <c r="T203" s="9">
        <f t="shared" si="45"/>
        <v>1.9999999999999929</v>
      </c>
      <c r="U203" s="9">
        <f t="shared" si="55"/>
        <v>44</v>
      </c>
      <c r="V203" s="9">
        <f t="shared" si="46"/>
        <v>15</v>
      </c>
      <c r="W203" s="9" t="str">
        <f t="shared" si="47"/>
        <v>Evening</v>
      </c>
      <c r="X203" s="9" t="str">
        <f t="shared" si="48"/>
        <v>Off-Peak</v>
      </c>
      <c r="Y203" s="23">
        <f t="shared" si="49"/>
        <v>0.17204545454545456</v>
      </c>
      <c r="Z203" s="23">
        <f t="shared" si="50"/>
        <v>16.116248348745046</v>
      </c>
      <c r="AA203" s="23">
        <f t="shared" si="51"/>
        <v>0.5446428571428571</v>
      </c>
      <c r="AB203" s="9" t="str">
        <f t="shared" si="52"/>
        <v>Late</v>
      </c>
      <c r="AC203" s="9" t="str">
        <f t="shared" si="53"/>
        <v>No Delay</v>
      </c>
      <c r="AD203" s="64" t="str">
        <f t="shared" si="54"/>
        <v>Long (5+km)</v>
      </c>
    </row>
    <row r="204" spans="1:30" x14ac:dyDescent="0.3">
      <c r="A204" s="8" t="s">
        <v>515</v>
      </c>
      <c r="B204" s="9" t="s">
        <v>291</v>
      </c>
      <c r="C204" s="9" t="s">
        <v>597</v>
      </c>
      <c r="D204" s="9">
        <v>14</v>
      </c>
      <c r="E204" s="9" t="s">
        <v>403</v>
      </c>
      <c r="F204" s="9" t="s">
        <v>649</v>
      </c>
      <c r="G204" s="10">
        <v>0.625</v>
      </c>
      <c r="H204" s="9" t="s">
        <v>96</v>
      </c>
      <c r="I204" s="9">
        <v>4.4400000000000004</v>
      </c>
      <c r="J204" s="9" t="s">
        <v>54</v>
      </c>
      <c r="K204" s="9">
        <v>341</v>
      </c>
      <c r="L204" s="9">
        <v>94</v>
      </c>
      <c r="M204" s="9" t="s">
        <v>22</v>
      </c>
      <c r="N204" s="9">
        <v>15</v>
      </c>
      <c r="O204" s="9" t="s">
        <v>55</v>
      </c>
      <c r="P204" s="9" t="s">
        <v>24</v>
      </c>
      <c r="Q204" s="9" t="str">
        <f t="shared" si="42"/>
        <v>None</v>
      </c>
      <c r="R204" s="9">
        <f t="shared" si="43"/>
        <v>49.000000000000142</v>
      </c>
      <c r="S204" s="9">
        <f t="shared" si="44"/>
        <v>0.99999999999999645</v>
      </c>
      <c r="T204" s="9">
        <f t="shared" si="45"/>
        <v>2.9999999999999893</v>
      </c>
      <c r="U204" s="9">
        <f t="shared" si="55"/>
        <v>31.00000000000005</v>
      </c>
      <c r="V204" s="9">
        <f t="shared" si="46"/>
        <v>14</v>
      </c>
      <c r="W204" s="9" t="str">
        <f t="shared" si="47"/>
        <v>Afternoon</v>
      </c>
      <c r="X204" s="9" t="str">
        <f t="shared" si="48"/>
        <v>Off-Peak</v>
      </c>
      <c r="Y204" s="23">
        <f t="shared" si="49"/>
        <v>0.14322580645161267</v>
      </c>
      <c r="Z204" s="23">
        <f t="shared" si="50"/>
        <v>21.171171171171171</v>
      </c>
      <c r="AA204" s="23">
        <f t="shared" si="51"/>
        <v>0.2756598240469208</v>
      </c>
      <c r="AB204" s="9" t="str">
        <f t="shared" si="52"/>
        <v>Late</v>
      </c>
      <c r="AC204" s="9" t="str">
        <f t="shared" si="53"/>
        <v>No Delay</v>
      </c>
      <c r="AD204" s="64" t="str">
        <f t="shared" si="54"/>
        <v>Medium (2-5km)</v>
      </c>
    </row>
    <row r="205" spans="1:30" x14ac:dyDescent="0.3">
      <c r="A205" s="8" t="s">
        <v>516</v>
      </c>
      <c r="B205" s="9" t="s">
        <v>37</v>
      </c>
      <c r="C205" s="9" t="s">
        <v>597</v>
      </c>
      <c r="D205" s="9">
        <v>13</v>
      </c>
      <c r="E205" s="9" t="s">
        <v>499</v>
      </c>
      <c r="F205" s="9" t="s">
        <v>659</v>
      </c>
      <c r="G205" s="10">
        <v>0.73888888888888893</v>
      </c>
      <c r="H205" s="9" t="s">
        <v>612</v>
      </c>
      <c r="I205" s="9">
        <v>5.18</v>
      </c>
      <c r="J205" s="9" t="s">
        <v>99</v>
      </c>
      <c r="K205" s="9">
        <v>386</v>
      </c>
      <c r="L205" s="9">
        <v>101</v>
      </c>
      <c r="M205" s="9" t="s">
        <v>22</v>
      </c>
      <c r="N205" s="9">
        <v>12</v>
      </c>
      <c r="O205" s="9" t="s">
        <v>23</v>
      </c>
      <c r="P205" s="9" t="s">
        <v>24</v>
      </c>
      <c r="Q205" s="9" t="str">
        <f t="shared" si="42"/>
        <v>None</v>
      </c>
      <c r="R205" s="9">
        <f t="shared" si="43"/>
        <v>51.000000000000142</v>
      </c>
      <c r="S205" s="9">
        <f t="shared" si="44"/>
        <v>0.99999999999999645</v>
      </c>
      <c r="T205" s="9">
        <f t="shared" si="45"/>
        <v>2.9999999999999893</v>
      </c>
      <c r="U205" s="9">
        <f t="shared" si="55"/>
        <v>34.000000000000043</v>
      </c>
      <c r="V205" s="9">
        <f t="shared" si="46"/>
        <v>17</v>
      </c>
      <c r="W205" s="9" t="str">
        <f t="shared" si="47"/>
        <v>Evening</v>
      </c>
      <c r="X205" s="9" t="str">
        <f t="shared" si="48"/>
        <v>Peak</v>
      </c>
      <c r="Y205" s="23">
        <f t="shared" si="49"/>
        <v>0.15235294117647039</v>
      </c>
      <c r="Z205" s="23">
        <f t="shared" si="50"/>
        <v>19.498069498069498</v>
      </c>
      <c r="AA205" s="23">
        <f t="shared" si="51"/>
        <v>0.26165803108808289</v>
      </c>
      <c r="AB205" s="9" t="str">
        <f t="shared" si="52"/>
        <v>Late</v>
      </c>
      <c r="AC205" s="9" t="str">
        <f t="shared" si="53"/>
        <v>No Delay</v>
      </c>
      <c r="AD205" s="64" t="str">
        <f t="shared" si="54"/>
        <v>Long (5+km)</v>
      </c>
    </row>
    <row r="206" spans="1:30" x14ac:dyDescent="0.3">
      <c r="A206" s="8" t="s">
        <v>517</v>
      </c>
      <c r="B206" s="9" t="s">
        <v>525</v>
      </c>
      <c r="C206" s="9" t="s">
        <v>597</v>
      </c>
      <c r="D206" s="9">
        <v>20</v>
      </c>
      <c r="E206" s="9" t="s">
        <v>790</v>
      </c>
      <c r="F206" s="9" t="s">
        <v>790</v>
      </c>
      <c r="G206" s="10">
        <v>0.48124999999999996</v>
      </c>
      <c r="H206" s="9" t="s">
        <v>194</v>
      </c>
      <c r="I206" s="9">
        <v>6.12</v>
      </c>
      <c r="J206" s="9" t="s">
        <v>21</v>
      </c>
      <c r="K206" s="9">
        <v>158</v>
      </c>
      <c r="L206" s="9">
        <v>114</v>
      </c>
      <c r="M206" s="9" t="s">
        <v>77</v>
      </c>
      <c r="N206" s="9">
        <v>12</v>
      </c>
      <c r="O206" s="9" t="s">
        <v>23</v>
      </c>
      <c r="P206" s="9" t="s">
        <v>78</v>
      </c>
      <c r="Q206" s="9" t="str">
        <f t="shared" si="42"/>
        <v>Restaurant Delay</v>
      </c>
      <c r="R206" s="9">
        <f t="shared" si="43"/>
        <v>64.999999999999929</v>
      </c>
      <c r="S206" s="9">
        <f t="shared" si="44"/>
        <v>0</v>
      </c>
      <c r="T206" s="9">
        <f t="shared" si="45"/>
        <v>3.9999999999999858</v>
      </c>
      <c r="U206" s="9">
        <f t="shared" si="55"/>
        <v>41.000000000000014</v>
      </c>
      <c r="V206" s="9">
        <f t="shared" si="46"/>
        <v>11</v>
      </c>
      <c r="W206" s="9" t="str">
        <f t="shared" si="47"/>
        <v>Late Morning</v>
      </c>
      <c r="X206" s="9" t="str">
        <f t="shared" si="48"/>
        <v>Off-Peak</v>
      </c>
      <c r="Y206" s="23">
        <f t="shared" si="49"/>
        <v>0.14926829268292677</v>
      </c>
      <c r="Z206" s="23">
        <f t="shared" si="50"/>
        <v>18.627450980392158</v>
      </c>
      <c r="AA206" s="23">
        <f t="shared" si="51"/>
        <v>0.72151898734177211</v>
      </c>
      <c r="AB206" s="9" t="str">
        <f t="shared" si="52"/>
        <v>Late</v>
      </c>
      <c r="AC206" s="9" t="str">
        <f t="shared" si="53"/>
        <v>Restaurant Delay</v>
      </c>
      <c r="AD206" s="64" t="str">
        <f t="shared" si="54"/>
        <v>Long (5+km)</v>
      </c>
    </row>
    <row r="207" spans="1:30" x14ac:dyDescent="0.3">
      <c r="A207" s="8" t="s">
        <v>519</v>
      </c>
      <c r="B207" s="9" t="s">
        <v>784</v>
      </c>
      <c r="C207" s="9" t="s">
        <v>597</v>
      </c>
      <c r="D207" s="9">
        <v>10</v>
      </c>
      <c r="E207" s="9" t="s">
        <v>694</v>
      </c>
      <c r="F207" s="9" t="s">
        <v>625</v>
      </c>
      <c r="G207" s="10">
        <v>0.67013888888888884</v>
      </c>
      <c r="H207" s="9" t="s">
        <v>653</v>
      </c>
      <c r="I207" s="9">
        <v>4.91</v>
      </c>
      <c r="J207" s="9" t="s">
        <v>69</v>
      </c>
      <c r="K207" s="9">
        <v>225</v>
      </c>
      <c r="L207" s="9">
        <v>94</v>
      </c>
      <c r="M207" s="9" t="s">
        <v>22</v>
      </c>
      <c r="N207" s="9">
        <v>19</v>
      </c>
      <c r="O207" s="9" t="s">
        <v>55</v>
      </c>
      <c r="P207" s="9" t="s">
        <v>24</v>
      </c>
      <c r="Q207" s="9" t="str">
        <f t="shared" si="42"/>
        <v>None</v>
      </c>
      <c r="R207" s="9">
        <f t="shared" si="43"/>
        <v>44</v>
      </c>
      <c r="S207" s="9">
        <f t="shared" si="44"/>
        <v>2.9999999999999893</v>
      </c>
      <c r="T207" s="9">
        <f t="shared" si="45"/>
        <v>4.9999999999999822</v>
      </c>
      <c r="U207" s="9">
        <f t="shared" si="55"/>
        <v>26.000000000000068</v>
      </c>
      <c r="V207" s="9">
        <f t="shared" si="46"/>
        <v>15</v>
      </c>
      <c r="W207" s="9" t="str">
        <f t="shared" si="47"/>
        <v>Evening</v>
      </c>
      <c r="X207" s="9" t="str">
        <f t="shared" si="48"/>
        <v>Off-Peak</v>
      </c>
      <c r="Y207" s="23">
        <f t="shared" si="49"/>
        <v>0.18884615384615336</v>
      </c>
      <c r="Z207" s="23">
        <f t="shared" si="50"/>
        <v>19.144602851323828</v>
      </c>
      <c r="AA207" s="23">
        <f t="shared" si="51"/>
        <v>0.4177777777777778</v>
      </c>
      <c r="AB207" s="9" t="str">
        <f t="shared" si="52"/>
        <v>On-Time</v>
      </c>
      <c r="AC207" s="9" t="str">
        <f t="shared" si="53"/>
        <v>No Delay</v>
      </c>
      <c r="AD207" s="64" t="str">
        <f t="shared" si="54"/>
        <v>Medium (2-5km)</v>
      </c>
    </row>
    <row r="208" spans="1:30" x14ac:dyDescent="0.3">
      <c r="A208" s="8" t="s">
        <v>520</v>
      </c>
      <c r="B208" s="9" t="s">
        <v>158</v>
      </c>
      <c r="C208" s="9" t="s">
        <v>597</v>
      </c>
      <c r="D208" s="9">
        <v>13</v>
      </c>
      <c r="E208" s="9" t="s">
        <v>311</v>
      </c>
      <c r="F208" s="9" t="s">
        <v>684</v>
      </c>
      <c r="G208" s="10">
        <v>0.8256944444444444</v>
      </c>
      <c r="H208" s="9" t="s">
        <v>141</v>
      </c>
      <c r="I208" s="9">
        <v>3.74</v>
      </c>
      <c r="J208" s="9" t="s">
        <v>76</v>
      </c>
      <c r="K208" s="9">
        <v>292</v>
      </c>
      <c r="L208" s="9">
        <v>95</v>
      </c>
      <c r="M208" s="9" t="s">
        <v>22</v>
      </c>
      <c r="N208" s="9">
        <v>9</v>
      </c>
      <c r="O208" s="9" t="s">
        <v>34</v>
      </c>
      <c r="P208" s="9" t="s">
        <v>24</v>
      </c>
      <c r="Q208" s="9" t="str">
        <f t="shared" si="42"/>
        <v>Traffic</v>
      </c>
      <c r="R208" s="9">
        <f t="shared" si="43"/>
        <v>55.999999999999957</v>
      </c>
      <c r="S208" s="9">
        <f t="shared" si="44"/>
        <v>4.9999999999998224</v>
      </c>
      <c r="T208" s="9">
        <f t="shared" si="45"/>
        <v>7.9999999999999716</v>
      </c>
      <c r="U208" s="9">
        <f t="shared" si="55"/>
        <v>30.000000000000053</v>
      </c>
      <c r="V208" s="9">
        <f t="shared" si="46"/>
        <v>19</v>
      </c>
      <c r="W208" s="9" t="str">
        <f t="shared" si="47"/>
        <v>Peak Night</v>
      </c>
      <c r="X208" s="9" t="str">
        <f t="shared" si="48"/>
        <v>Peak</v>
      </c>
      <c r="Y208" s="23">
        <f t="shared" si="49"/>
        <v>0.12466666666666645</v>
      </c>
      <c r="Z208" s="23">
        <f t="shared" si="50"/>
        <v>25.401069518716575</v>
      </c>
      <c r="AA208" s="23">
        <f t="shared" si="51"/>
        <v>0.32534246575342468</v>
      </c>
      <c r="AB208" s="9" t="str">
        <f t="shared" si="52"/>
        <v>Late</v>
      </c>
      <c r="AC208" s="9" t="str">
        <f t="shared" si="53"/>
        <v>No Delay</v>
      </c>
      <c r="AD208" s="64" t="str">
        <f t="shared" si="54"/>
        <v>Medium (2-5km)</v>
      </c>
    </row>
    <row r="209" spans="1:30" x14ac:dyDescent="0.3">
      <c r="A209" s="8" t="s">
        <v>522</v>
      </c>
      <c r="B209" s="9" t="s">
        <v>690</v>
      </c>
      <c r="C209" s="9" t="s">
        <v>597</v>
      </c>
      <c r="D209" s="9">
        <v>16</v>
      </c>
      <c r="E209" s="9" t="s">
        <v>346</v>
      </c>
      <c r="F209" s="9" t="s">
        <v>346</v>
      </c>
      <c r="G209" s="10">
        <v>0.45347222222222222</v>
      </c>
      <c r="H209" s="9" t="s">
        <v>332</v>
      </c>
      <c r="I209" s="9">
        <v>4.9400000000000004</v>
      </c>
      <c r="J209" s="9" t="s">
        <v>160</v>
      </c>
      <c r="K209" s="9">
        <v>205</v>
      </c>
      <c r="L209" s="9">
        <v>99</v>
      </c>
      <c r="M209" s="9" t="s">
        <v>22</v>
      </c>
      <c r="N209" s="9">
        <v>12</v>
      </c>
      <c r="O209" s="9" t="s">
        <v>23</v>
      </c>
      <c r="P209" s="9" t="s">
        <v>24</v>
      </c>
      <c r="Q209" s="9" t="str">
        <f t="shared" si="42"/>
        <v>None</v>
      </c>
      <c r="R209" s="9">
        <f t="shared" si="43"/>
        <v>52.000000000000057</v>
      </c>
      <c r="S209" s="9">
        <f t="shared" si="44"/>
        <v>0</v>
      </c>
      <c r="T209" s="9">
        <f t="shared" si="45"/>
        <v>0.99999999999999645</v>
      </c>
      <c r="U209" s="9">
        <f t="shared" si="55"/>
        <v>35.000000000000036</v>
      </c>
      <c r="V209" s="9">
        <f t="shared" si="46"/>
        <v>10</v>
      </c>
      <c r="W209" s="9" t="str">
        <f t="shared" si="47"/>
        <v>Late Morning</v>
      </c>
      <c r="X209" s="9" t="str">
        <f t="shared" si="48"/>
        <v>Off-Peak</v>
      </c>
      <c r="Y209" s="23">
        <f t="shared" si="49"/>
        <v>0.14114285714285701</v>
      </c>
      <c r="Z209" s="23">
        <f t="shared" si="50"/>
        <v>20.040485829959511</v>
      </c>
      <c r="AA209" s="23">
        <f t="shared" si="51"/>
        <v>0.48292682926829267</v>
      </c>
      <c r="AB209" s="9" t="str">
        <f t="shared" si="52"/>
        <v>Late</v>
      </c>
      <c r="AC209" s="9" t="str">
        <f t="shared" si="53"/>
        <v>No Delay</v>
      </c>
      <c r="AD209" s="64" t="str">
        <f t="shared" si="54"/>
        <v>Medium (2-5km)</v>
      </c>
    </row>
    <row r="210" spans="1:30" x14ac:dyDescent="0.3">
      <c r="A210" s="8" t="s">
        <v>524</v>
      </c>
      <c r="B210" s="9" t="s">
        <v>271</v>
      </c>
      <c r="C210" s="9" t="s">
        <v>597</v>
      </c>
      <c r="D210" s="9">
        <v>11</v>
      </c>
      <c r="E210" s="9" t="s">
        <v>618</v>
      </c>
      <c r="F210" s="9" t="s">
        <v>621</v>
      </c>
      <c r="G210" s="10">
        <v>0.55208333333333326</v>
      </c>
      <c r="H210" s="9" t="s">
        <v>711</v>
      </c>
      <c r="I210" s="9">
        <v>7.15</v>
      </c>
      <c r="J210" s="9" t="s">
        <v>160</v>
      </c>
      <c r="K210" s="9">
        <v>188</v>
      </c>
      <c r="L210" s="9">
        <v>123</v>
      </c>
      <c r="M210" s="9" t="s">
        <v>77</v>
      </c>
      <c r="N210" s="9">
        <v>12</v>
      </c>
      <c r="O210" s="9" t="s">
        <v>23</v>
      </c>
      <c r="P210" s="9" t="s">
        <v>78</v>
      </c>
      <c r="Q210" s="9" t="str">
        <f t="shared" si="42"/>
        <v>Restaurant Delay</v>
      </c>
      <c r="R210" s="9">
        <f t="shared" si="43"/>
        <v>61.000000000000099</v>
      </c>
      <c r="S210" s="9">
        <f t="shared" si="44"/>
        <v>0.99999999999983658</v>
      </c>
      <c r="T210" s="9">
        <f t="shared" si="45"/>
        <v>2.9999999999999893</v>
      </c>
      <c r="U210" s="9">
        <f t="shared" si="55"/>
        <v>46.000000000000156</v>
      </c>
      <c r="V210" s="9">
        <f t="shared" si="46"/>
        <v>13</v>
      </c>
      <c r="W210" s="9" t="str">
        <f t="shared" si="47"/>
        <v>Afternoon</v>
      </c>
      <c r="X210" s="9" t="str">
        <f t="shared" si="48"/>
        <v>Peak</v>
      </c>
      <c r="Y210" s="23">
        <f t="shared" si="49"/>
        <v>0.15543478260869514</v>
      </c>
      <c r="Z210" s="23">
        <f t="shared" si="50"/>
        <v>17.202797202797203</v>
      </c>
      <c r="AA210" s="23">
        <f t="shared" si="51"/>
        <v>0.6542553191489362</v>
      </c>
      <c r="AB210" s="9" t="str">
        <f t="shared" si="52"/>
        <v>Late</v>
      </c>
      <c r="AC210" s="9" t="str">
        <f t="shared" si="53"/>
        <v>Restaurant Delay</v>
      </c>
      <c r="AD210" s="64" t="str">
        <f t="shared" si="54"/>
        <v>Long (5+km)</v>
      </c>
    </row>
    <row r="211" spans="1:30" x14ac:dyDescent="0.3">
      <c r="A211" s="8" t="s">
        <v>527</v>
      </c>
      <c r="B211" s="9" t="s">
        <v>598</v>
      </c>
      <c r="C211" s="9" t="s">
        <v>597</v>
      </c>
      <c r="D211" s="9">
        <v>15</v>
      </c>
      <c r="E211" s="9" t="s">
        <v>165</v>
      </c>
      <c r="F211" s="9" t="s">
        <v>650</v>
      </c>
      <c r="G211" s="10">
        <v>0.46041666666666664</v>
      </c>
      <c r="H211" s="9" t="s">
        <v>526</v>
      </c>
      <c r="I211" s="9">
        <v>1.62</v>
      </c>
      <c r="J211" s="9" t="s">
        <v>33</v>
      </c>
      <c r="K211" s="9">
        <v>320</v>
      </c>
      <c r="L211" s="9">
        <v>70</v>
      </c>
      <c r="M211" s="9" t="s">
        <v>22</v>
      </c>
      <c r="N211" s="9">
        <v>12</v>
      </c>
      <c r="O211" s="9" t="s">
        <v>23</v>
      </c>
      <c r="P211" s="9" t="s">
        <v>24</v>
      </c>
      <c r="Q211" s="9" t="str">
        <f t="shared" si="42"/>
        <v>None</v>
      </c>
      <c r="R211" s="9">
        <f t="shared" si="43"/>
        <v>40.000000000000099</v>
      </c>
      <c r="S211" s="9">
        <f t="shared" si="44"/>
        <v>0.99999999999999645</v>
      </c>
      <c r="T211" s="9">
        <f t="shared" si="45"/>
        <v>2.9999999999999893</v>
      </c>
      <c r="U211" s="9">
        <f t="shared" si="55"/>
        <v>21.000000000000085</v>
      </c>
      <c r="V211" s="9">
        <f t="shared" si="46"/>
        <v>10</v>
      </c>
      <c r="W211" s="9" t="str">
        <f t="shared" si="47"/>
        <v>Late Morning</v>
      </c>
      <c r="X211" s="9" t="str">
        <f t="shared" si="48"/>
        <v>Off-Peak</v>
      </c>
      <c r="Y211" s="23">
        <f t="shared" si="49"/>
        <v>7.7142857142856833E-2</v>
      </c>
      <c r="Z211" s="23">
        <f t="shared" si="50"/>
        <v>43.209876543209873</v>
      </c>
      <c r="AA211" s="23">
        <f t="shared" si="51"/>
        <v>0.21875</v>
      </c>
      <c r="AB211" s="9" t="str">
        <f t="shared" si="52"/>
        <v>On-Time</v>
      </c>
      <c r="AC211" s="9" t="str">
        <f t="shared" si="53"/>
        <v>No Delay</v>
      </c>
      <c r="AD211" s="64" t="str">
        <f t="shared" si="54"/>
        <v>Short (0-2km)</v>
      </c>
    </row>
    <row r="212" spans="1:30" x14ac:dyDescent="0.3">
      <c r="A212" s="8" t="s">
        <v>528</v>
      </c>
      <c r="B212" s="9" t="s">
        <v>375</v>
      </c>
      <c r="C212" s="9" t="s">
        <v>594</v>
      </c>
      <c r="D212" s="9">
        <v>26</v>
      </c>
      <c r="E212" s="9" t="s">
        <v>683</v>
      </c>
      <c r="F212" s="9" t="s">
        <v>732</v>
      </c>
      <c r="G212" s="10">
        <v>0.52847222222222223</v>
      </c>
      <c r="H212" s="9" t="s">
        <v>136</v>
      </c>
      <c r="I212" s="9">
        <v>1.81</v>
      </c>
      <c r="J212" s="9" t="s">
        <v>54</v>
      </c>
      <c r="K212" s="9">
        <v>223</v>
      </c>
      <c r="L212" s="9">
        <v>73</v>
      </c>
      <c r="M212" s="9" t="s">
        <v>22</v>
      </c>
      <c r="N212" s="9">
        <v>17</v>
      </c>
      <c r="O212" s="9" t="s">
        <v>23</v>
      </c>
      <c r="P212" s="9" t="s">
        <v>24</v>
      </c>
      <c r="Q212" s="9" t="str">
        <f t="shared" si="42"/>
        <v>Restaurant Delay</v>
      </c>
      <c r="R212" s="9">
        <f t="shared" si="43"/>
        <v>61.999999999999943</v>
      </c>
      <c r="S212" s="9">
        <f t="shared" si="44"/>
        <v>9.9999999999999645</v>
      </c>
      <c r="T212" s="9">
        <f t="shared" si="45"/>
        <v>2.9999999999999893</v>
      </c>
      <c r="U212" s="9">
        <f t="shared" si="55"/>
        <v>22.999999999999918</v>
      </c>
      <c r="V212" s="9">
        <f t="shared" si="46"/>
        <v>12</v>
      </c>
      <c r="W212" s="9" t="str">
        <f t="shared" si="47"/>
        <v>Afternoon</v>
      </c>
      <c r="X212" s="9" t="str">
        <f t="shared" si="48"/>
        <v>Peak</v>
      </c>
      <c r="Y212" s="23">
        <f t="shared" si="49"/>
        <v>7.8695652173913319E-2</v>
      </c>
      <c r="Z212" s="23">
        <f t="shared" si="50"/>
        <v>40.331491712707184</v>
      </c>
      <c r="AA212" s="23">
        <f t="shared" si="51"/>
        <v>0.3273542600896861</v>
      </c>
      <c r="AB212" s="9" t="str">
        <f t="shared" si="52"/>
        <v>Late</v>
      </c>
      <c r="AC212" s="9" t="str">
        <f t="shared" si="53"/>
        <v>No Delay</v>
      </c>
      <c r="AD212" s="64" t="str">
        <f t="shared" si="54"/>
        <v>Short (0-2km)</v>
      </c>
    </row>
    <row r="213" spans="1:30" x14ac:dyDescent="0.3">
      <c r="A213" s="8" t="s">
        <v>530</v>
      </c>
      <c r="B213" s="9" t="s">
        <v>492</v>
      </c>
      <c r="C213" s="9" t="s">
        <v>597</v>
      </c>
      <c r="D213" s="9">
        <v>13</v>
      </c>
      <c r="E213" s="9" t="s">
        <v>108</v>
      </c>
      <c r="F213" s="9" t="s">
        <v>521</v>
      </c>
      <c r="G213" s="10">
        <v>0.80138888888888882</v>
      </c>
      <c r="H213" s="9" t="s">
        <v>445</v>
      </c>
      <c r="I213" s="9">
        <v>6.07</v>
      </c>
      <c r="J213" s="9" t="s">
        <v>76</v>
      </c>
      <c r="K213" s="9">
        <v>241</v>
      </c>
      <c r="L213" s="9">
        <v>110</v>
      </c>
      <c r="M213" s="9" t="s">
        <v>22</v>
      </c>
      <c r="N213" s="9">
        <v>17</v>
      </c>
      <c r="O213" s="9" t="s">
        <v>23</v>
      </c>
      <c r="P213" s="9" t="s">
        <v>24</v>
      </c>
      <c r="Q213" s="9" t="str">
        <f t="shared" si="42"/>
        <v>Distance</v>
      </c>
      <c r="R213" s="9">
        <f t="shared" si="43"/>
        <v>55.999999999999957</v>
      </c>
      <c r="S213" s="9">
        <f t="shared" si="44"/>
        <v>0.99999999999999645</v>
      </c>
      <c r="T213" s="9">
        <f t="shared" si="45"/>
        <v>0.99999999999999645</v>
      </c>
      <c r="U213" s="9">
        <f t="shared" si="55"/>
        <v>41.000000000000171</v>
      </c>
      <c r="V213" s="9">
        <f t="shared" si="46"/>
        <v>18</v>
      </c>
      <c r="W213" s="9" t="str">
        <f t="shared" si="47"/>
        <v>Peak Night</v>
      </c>
      <c r="X213" s="9" t="str">
        <f t="shared" si="48"/>
        <v>Peak</v>
      </c>
      <c r="Y213" s="23">
        <f t="shared" si="49"/>
        <v>0.14804878048780426</v>
      </c>
      <c r="Z213" s="23">
        <f t="shared" si="50"/>
        <v>18.121911037891266</v>
      </c>
      <c r="AA213" s="23">
        <f t="shared" si="51"/>
        <v>0.45643153526970953</v>
      </c>
      <c r="AB213" s="9" t="str">
        <f t="shared" si="52"/>
        <v>Late</v>
      </c>
      <c r="AC213" s="9" t="str">
        <f t="shared" si="53"/>
        <v>No Delay</v>
      </c>
      <c r="AD213" s="64" t="str">
        <f t="shared" si="54"/>
        <v>Long (5+km)</v>
      </c>
    </row>
    <row r="214" spans="1:30" x14ac:dyDescent="0.3">
      <c r="A214" s="8" t="s">
        <v>532</v>
      </c>
      <c r="B214" s="9" t="s">
        <v>653</v>
      </c>
      <c r="C214" s="9" t="s">
        <v>597</v>
      </c>
      <c r="D214" s="9">
        <v>16</v>
      </c>
      <c r="E214" s="9" t="s">
        <v>545</v>
      </c>
      <c r="F214" s="9" t="s">
        <v>644</v>
      </c>
      <c r="G214" s="10">
        <v>0.70347222222222217</v>
      </c>
      <c r="H214" s="9" t="s">
        <v>215</v>
      </c>
      <c r="I214" s="9">
        <v>7.52</v>
      </c>
      <c r="J214" s="9" t="s">
        <v>33</v>
      </c>
      <c r="K214" s="9">
        <v>383</v>
      </c>
      <c r="L214" s="9">
        <v>123</v>
      </c>
      <c r="M214" s="9" t="s">
        <v>22</v>
      </c>
      <c r="N214" s="9">
        <v>15</v>
      </c>
      <c r="O214" s="9" t="s">
        <v>55</v>
      </c>
      <c r="P214" s="9" t="s">
        <v>24</v>
      </c>
      <c r="Q214" s="9" t="str">
        <f t="shared" si="42"/>
        <v>Distance</v>
      </c>
      <c r="R214" s="9">
        <f t="shared" si="43"/>
        <v>66.000000000000085</v>
      </c>
      <c r="S214" s="9">
        <f t="shared" si="44"/>
        <v>2.9999999999998295</v>
      </c>
      <c r="T214" s="9">
        <f t="shared" si="45"/>
        <v>2.9999999999999893</v>
      </c>
      <c r="U214" s="9">
        <f t="shared" si="55"/>
        <v>44.000000000000163</v>
      </c>
      <c r="V214" s="9">
        <f t="shared" si="46"/>
        <v>16</v>
      </c>
      <c r="W214" s="9" t="str">
        <f t="shared" si="47"/>
        <v>Evening</v>
      </c>
      <c r="X214" s="9" t="str">
        <f t="shared" si="48"/>
        <v>Off-Peak</v>
      </c>
      <c r="Y214" s="23">
        <f t="shared" si="49"/>
        <v>0.17090909090909026</v>
      </c>
      <c r="Z214" s="23">
        <f t="shared" si="50"/>
        <v>16.356382978723406</v>
      </c>
      <c r="AA214" s="23">
        <f t="shared" si="51"/>
        <v>0.32114882506527415</v>
      </c>
      <c r="AB214" s="9" t="str">
        <f t="shared" si="52"/>
        <v>Late</v>
      </c>
      <c r="AC214" s="9" t="str">
        <f t="shared" si="53"/>
        <v>No Delay</v>
      </c>
      <c r="AD214" s="64" t="str">
        <f t="shared" si="54"/>
        <v>Long (5+km)</v>
      </c>
    </row>
    <row r="215" spans="1:30" x14ac:dyDescent="0.3">
      <c r="A215" s="8" t="s">
        <v>533</v>
      </c>
      <c r="B215" s="9" t="s">
        <v>43</v>
      </c>
      <c r="C215" s="9" t="s">
        <v>597</v>
      </c>
      <c r="D215" s="9">
        <v>16</v>
      </c>
      <c r="E215" s="9" t="s">
        <v>193</v>
      </c>
      <c r="F215" s="9" t="s">
        <v>194</v>
      </c>
      <c r="G215" s="10">
        <v>0.51249999999999996</v>
      </c>
      <c r="H215" s="9" t="s">
        <v>745</v>
      </c>
      <c r="I215" s="9">
        <v>3.13</v>
      </c>
      <c r="J215" s="9" t="s">
        <v>126</v>
      </c>
      <c r="K215" s="9">
        <v>244</v>
      </c>
      <c r="L215" s="9">
        <v>85</v>
      </c>
      <c r="M215" s="9" t="s">
        <v>22</v>
      </c>
      <c r="N215" s="9">
        <v>14</v>
      </c>
      <c r="O215" s="9" t="s">
        <v>23</v>
      </c>
      <c r="P215" s="9" t="s">
        <v>24</v>
      </c>
      <c r="Q215" s="9" t="str">
        <f t="shared" si="42"/>
        <v>None</v>
      </c>
      <c r="R215" s="9">
        <f t="shared" si="43"/>
        <v>48.999999999999986</v>
      </c>
      <c r="S215" s="9">
        <f t="shared" si="44"/>
        <v>1.9999999999999929</v>
      </c>
      <c r="T215" s="9">
        <f t="shared" si="45"/>
        <v>3.9999999999999858</v>
      </c>
      <c r="U215" s="9">
        <f t="shared" si="55"/>
        <v>27.000000000000064</v>
      </c>
      <c r="V215" s="9">
        <f t="shared" si="46"/>
        <v>11</v>
      </c>
      <c r="W215" s="9" t="str">
        <f t="shared" si="47"/>
        <v>Late Morning</v>
      </c>
      <c r="X215" s="9" t="str">
        <f t="shared" si="48"/>
        <v>Off-Peak</v>
      </c>
      <c r="Y215" s="23">
        <f t="shared" si="49"/>
        <v>0.11592592592592564</v>
      </c>
      <c r="Z215" s="23">
        <f t="shared" si="50"/>
        <v>27.156549520766774</v>
      </c>
      <c r="AA215" s="23">
        <f t="shared" si="51"/>
        <v>0.34836065573770492</v>
      </c>
      <c r="AB215" s="9" t="str">
        <f t="shared" si="52"/>
        <v>Late</v>
      </c>
      <c r="AC215" s="9" t="str">
        <f t="shared" si="53"/>
        <v>No Delay</v>
      </c>
      <c r="AD215" s="64" t="str">
        <f t="shared" si="54"/>
        <v>Medium (2-5km)</v>
      </c>
    </row>
    <row r="216" spans="1:30" x14ac:dyDescent="0.3">
      <c r="A216" s="8" t="s">
        <v>534</v>
      </c>
      <c r="B216" s="9" t="s">
        <v>236</v>
      </c>
      <c r="C216" s="9" t="s">
        <v>597</v>
      </c>
      <c r="D216" s="9">
        <v>15</v>
      </c>
      <c r="E216" s="9" t="s">
        <v>228</v>
      </c>
      <c r="F216" s="9" t="s">
        <v>229</v>
      </c>
      <c r="G216" s="10">
        <v>0.75416666666666665</v>
      </c>
      <c r="H216" s="9" t="s">
        <v>354</v>
      </c>
      <c r="I216" s="9">
        <v>4.58</v>
      </c>
      <c r="J216" s="9" t="s">
        <v>211</v>
      </c>
      <c r="K216" s="9">
        <v>193</v>
      </c>
      <c r="L216" s="9">
        <v>98</v>
      </c>
      <c r="M216" s="9" t="s">
        <v>22</v>
      </c>
      <c r="N216" s="9">
        <v>15</v>
      </c>
      <c r="O216" s="9" t="s">
        <v>23</v>
      </c>
      <c r="P216" s="9" t="s">
        <v>24</v>
      </c>
      <c r="Q216" s="9" t="str">
        <f t="shared" si="42"/>
        <v>None</v>
      </c>
      <c r="R216" s="9">
        <f t="shared" si="43"/>
        <v>53.999999999999972</v>
      </c>
      <c r="S216" s="9">
        <f t="shared" si="44"/>
        <v>1.999999999999833</v>
      </c>
      <c r="T216" s="9">
        <f t="shared" si="45"/>
        <v>1.9999999999999929</v>
      </c>
      <c r="U216" s="9">
        <f t="shared" si="55"/>
        <v>35.000000000000036</v>
      </c>
      <c r="V216" s="9">
        <f t="shared" si="46"/>
        <v>17</v>
      </c>
      <c r="W216" s="9" t="str">
        <f t="shared" si="47"/>
        <v>Evening</v>
      </c>
      <c r="X216" s="9" t="str">
        <f t="shared" si="48"/>
        <v>Peak</v>
      </c>
      <c r="Y216" s="23">
        <f t="shared" si="49"/>
        <v>0.13085714285714273</v>
      </c>
      <c r="Z216" s="23">
        <f t="shared" si="50"/>
        <v>21.397379912663755</v>
      </c>
      <c r="AA216" s="23">
        <f t="shared" si="51"/>
        <v>0.50777202072538863</v>
      </c>
      <c r="AB216" s="9" t="str">
        <f t="shared" si="52"/>
        <v>Late</v>
      </c>
      <c r="AC216" s="9" t="str">
        <f t="shared" si="53"/>
        <v>No Delay</v>
      </c>
      <c r="AD216" s="64" t="str">
        <f t="shared" si="54"/>
        <v>Medium (2-5km)</v>
      </c>
    </row>
    <row r="217" spans="1:30" x14ac:dyDescent="0.3">
      <c r="A217" s="8" t="s">
        <v>537</v>
      </c>
      <c r="B217" s="9" t="s">
        <v>417</v>
      </c>
      <c r="C217" s="9" t="s">
        <v>594</v>
      </c>
      <c r="D217" s="9">
        <v>29</v>
      </c>
      <c r="E217" s="9" t="s">
        <v>557</v>
      </c>
      <c r="F217" s="9" t="s">
        <v>604</v>
      </c>
      <c r="G217" s="10">
        <v>0.84861111111111109</v>
      </c>
      <c r="H217" s="9" t="s">
        <v>791</v>
      </c>
      <c r="I217" s="9">
        <v>5.51</v>
      </c>
      <c r="J217" s="9" t="s">
        <v>90</v>
      </c>
      <c r="K217" s="9">
        <v>170</v>
      </c>
      <c r="L217" s="9">
        <v>117</v>
      </c>
      <c r="M217" s="9" t="s">
        <v>22</v>
      </c>
      <c r="N217" s="9">
        <v>9</v>
      </c>
      <c r="O217" s="9" t="s">
        <v>34</v>
      </c>
      <c r="P217" s="9" t="s">
        <v>24</v>
      </c>
      <c r="Q217" s="9" t="str">
        <f t="shared" si="42"/>
        <v>Traffic</v>
      </c>
      <c r="R217" s="9">
        <f t="shared" si="43"/>
        <v>86.000000000000014</v>
      </c>
      <c r="S217" s="9">
        <f t="shared" si="44"/>
        <v>6.0000000000001386</v>
      </c>
      <c r="T217" s="9">
        <f t="shared" si="45"/>
        <v>6.9999999999999751</v>
      </c>
      <c r="U217" s="9">
        <f t="shared" si="55"/>
        <v>44.000000000000163</v>
      </c>
      <c r="V217" s="9">
        <f t="shared" si="46"/>
        <v>19</v>
      </c>
      <c r="W217" s="9" t="str">
        <f t="shared" si="47"/>
        <v>Peak Night</v>
      </c>
      <c r="X217" s="9" t="str">
        <f t="shared" si="48"/>
        <v>Peak</v>
      </c>
      <c r="Y217" s="23">
        <f t="shared" si="49"/>
        <v>0.12522727272727227</v>
      </c>
      <c r="Z217" s="23">
        <f t="shared" si="50"/>
        <v>21.234119782214158</v>
      </c>
      <c r="AA217" s="23">
        <f t="shared" si="51"/>
        <v>0.68823529411764706</v>
      </c>
      <c r="AB217" s="9" t="str">
        <f t="shared" si="52"/>
        <v>Late</v>
      </c>
      <c r="AC217" s="9" t="str">
        <f t="shared" si="53"/>
        <v>No Delay</v>
      </c>
      <c r="AD217" s="64" t="str">
        <f t="shared" si="54"/>
        <v>Long (5+km)</v>
      </c>
    </row>
    <row r="218" spans="1:30" x14ac:dyDescent="0.3">
      <c r="A218" s="8" t="s">
        <v>539</v>
      </c>
      <c r="B218" s="9" t="s">
        <v>778</v>
      </c>
      <c r="C218" s="9" t="s">
        <v>597</v>
      </c>
      <c r="D218" s="9">
        <v>20</v>
      </c>
      <c r="E218" s="9" t="s">
        <v>121</v>
      </c>
      <c r="F218" s="9" t="s">
        <v>291</v>
      </c>
      <c r="G218" s="10">
        <v>0.61388888888888882</v>
      </c>
      <c r="H218" s="9" t="s">
        <v>287</v>
      </c>
      <c r="I218" s="9">
        <v>2.94</v>
      </c>
      <c r="J218" s="9" t="s">
        <v>65</v>
      </c>
      <c r="K218" s="9">
        <v>259</v>
      </c>
      <c r="L218" s="9">
        <v>75</v>
      </c>
      <c r="M218" s="9" t="s">
        <v>22</v>
      </c>
      <c r="N218" s="9">
        <v>17</v>
      </c>
      <c r="O218" s="9" t="s">
        <v>55</v>
      </c>
      <c r="P218" s="9" t="s">
        <v>24</v>
      </c>
      <c r="Q218" s="9" t="str">
        <f t="shared" si="42"/>
        <v>None</v>
      </c>
      <c r="R218" s="9">
        <f t="shared" si="43"/>
        <v>45</v>
      </c>
      <c r="S218" s="9">
        <f t="shared" si="44"/>
        <v>2.9999999999998295</v>
      </c>
      <c r="T218" s="9">
        <f t="shared" si="45"/>
        <v>1.9999999999999929</v>
      </c>
      <c r="U218" s="9">
        <f t="shared" si="55"/>
        <v>20.000000000000089</v>
      </c>
      <c r="V218" s="9">
        <f t="shared" si="46"/>
        <v>14</v>
      </c>
      <c r="W218" s="9" t="str">
        <f t="shared" si="47"/>
        <v>Afternoon</v>
      </c>
      <c r="X218" s="9" t="str">
        <f t="shared" si="48"/>
        <v>Off-Peak</v>
      </c>
      <c r="Y218" s="23">
        <f t="shared" si="49"/>
        <v>0.14699999999999935</v>
      </c>
      <c r="Z218" s="23">
        <f t="shared" si="50"/>
        <v>25.510204081632654</v>
      </c>
      <c r="AA218" s="23">
        <f t="shared" si="51"/>
        <v>0.28957528957528955</v>
      </c>
      <c r="AB218" s="9" t="str">
        <f t="shared" si="52"/>
        <v>On-Time</v>
      </c>
      <c r="AC218" s="9" t="str">
        <f t="shared" si="53"/>
        <v>No Delay</v>
      </c>
      <c r="AD218" s="64" t="str">
        <f t="shared" si="54"/>
        <v>Medium (2-5km)</v>
      </c>
    </row>
    <row r="219" spans="1:30" x14ac:dyDescent="0.3">
      <c r="A219" s="8" t="s">
        <v>541</v>
      </c>
      <c r="B219" s="9" t="s">
        <v>158</v>
      </c>
      <c r="C219" s="9" t="s">
        <v>597</v>
      </c>
      <c r="D219" s="9">
        <v>17</v>
      </c>
      <c r="E219" s="9" t="s">
        <v>417</v>
      </c>
      <c r="F219" s="9" t="s">
        <v>773</v>
      </c>
      <c r="G219" s="10">
        <v>0.83124999999999993</v>
      </c>
      <c r="H219" s="9" t="s">
        <v>792</v>
      </c>
      <c r="I219" s="9">
        <v>5.79</v>
      </c>
      <c r="J219" s="9" t="s">
        <v>21</v>
      </c>
      <c r="K219" s="9">
        <v>272</v>
      </c>
      <c r="L219" s="9">
        <v>114</v>
      </c>
      <c r="M219" s="9" t="s">
        <v>22</v>
      </c>
      <c r="N219" s="9">
        <v>8</v>
      </c>
      <c r="O219" s="9" t="s">
        <v>34</v>
      </c>
      <c r="P219" s="9" t="s">
        <v>24</v>
      </c>
      <c r="Q219" s="9" t="str">
        <f t="shared" si="42"/>
        <v>Traffic</v>
      </c>
      <c r="R219" s="9">
        <f t="shared" si="43"/>
        <v>69.000000000000071</v>
      </c>
      <c r="S219" s="9">
        <f t="shared" si="44"/>
        <v>4.9999999999998224</v>
      </c>
      <c r="T219" s="9">
        <f t="shared" si="45"/>
        <v>11.999999999999957</v>
      </c>
      <c r="U219" s="9">
        <f t="shared" si="55"/>
        <v>35.000000000000199</v>
      </c>
      <c r="V219" s="9">
        <f t="shared" si="46"/>
        <v>19</v>
      </c>
      <c r="W219" s="9" t="str">
        <f t="shared" si="47"/>
        <v>Peak Night</v>
      </c>
      <c r="X219" s="9" t="str">
        <f t="shared" si="48"/>
        <v>Peak</v>
      </c>
      <c r="Y219" s="23">
        <f t="shared" si="49"/>
        <v>0.16542857142857048</v>
      </c>
      <c r="Z219" s="23">
        <f t="shared" si="50"/>
        <v>19.689119170984455</v>
      </c>
      <c r="AA219" s="23">
        <f t="shared" si="51"/>
        <v>0.41911764705882354</v>
      </c>
      <c r="AB219" s="9" t="str">
        <f t="shared" si="52"/>
        <v>Late</v>
      </c>
      <c r="AC219" s="9" t="str">
        <f t="shared" si="53"/>
        <v>No Delay</v>
      </c>
      <c r="AD219" s="64" t="str">
        <f t="shared" si="54"/>
        <v>Long (5+km)</v>
      </c>
    </row>
    <row r="220" spans="1:30" x14ac:dyDescent="0.3">
      <c r="A220" s="8" t="s">
        <v>542</v>
      </c>
      <c r="B220" s="9" t="s">
        <v>774</v>
      </c>
      <c r="C220" s="9" t="s">
        <v>597</v>
      </c>
      <c r="D220" s="9">
        <v>13</v>
      </c>
      <c r="E220" s="9" t="s">
        <v>691</v>
      </c>
      <c r="F220" s="9" t="s">
        <v>780</v>
      </c>
      <c r="G220" s="10">
        <v>0.45347222222222222</v>
      </c>
      <c r="H220" s="9" t="s">
        <v>59</v>
      </c>
      <c r="I220" s="9">
        <v>6.15</v>
      </c>
      <c r="J220" s="9" t="s">
        <v>177</v>
      </c>
      <c r="K220" s="9">
        <v>372</v>
      </c>
      <c r="L220" s="9">
        <v>113</v>
      </c>
      <c r="M220" s="9" t="s">
        <v>22</v>
      </c>
      <c r="N220" s="9">
        <v>17</v>
      </c>
      <c r="O220" s="9" t="s">
        <v>23</v>
      </c>
      <c r="P220" s="9" t="s">
        <v>24</v>
      </c>
      <c r="Q220" s="9" t="str">
        <f t="shared" si="42"/>
        <v>Distance</v>
      </c>
      <c r="R220" s="9">
        <f t="shared" si="43"/>
        <v>58.99999999999995</v>
      </c>
      <c r="S220" s="9">
        <f t="shared" si="44"/>
        <v>1.9999999999999929</v>
      </c>
      <c r="T220" s="9">
        <f t="shared" si="45"/>
        <v>2.9999999999999893</v>
      </c>
      <c r="U220" s="9">
        <f t="shared" si="55"/>
        <v>41.000000000000014</v>
      </c>
      <c r="V220" s="9">
        <f t="shared" si="46"/>
        <v>10</v>
      </c>
      <c r="W220" s="9" t="str">
        <f t="shared" si="47"/>
        <v>Late Morning</v>
      </c>
      <c r="X220" s="9" t="str">
        <f t="shared" si="48"/>
        <v>Off-Peak</v>
      </c>
      <c r="Y220" s="23">
        <f t="shared" si="49"/>
        <v>0.14999999999999997</v>
      </c>
      <c r="Z220" s="23">
        <f t="shared" si="50"/>
        <v>18.373983739837396</v>
      </c>
      <c r="AA220" s="23">
        <f t="shared" si="51"/>
        <v>0.30376344086021506</v>
      </c>
      <c r="AB220" s="9" t="str">
        <f t="shared" si="52"/>
        <v>Late</v>
      </c>
      <c r="AC220" s="9" t="str">
        <f t="shared" si="53"/>
        <v>No Delay</v>
      </c>
      <c r="AD220" s="64" t="str">
        <f t="shared" si="54"/>
        <v>Long (5+km)</v>
      </c>
    </row>
    <row r="221" spans="1:30" x14ac:dyDescent="0.3">
      <c r="A221" s="8" t="s">
        <v>544</v>
      </c>
      <c r="B221" s="9" t="s">
        <v>648</v>
      </c>
      <c r="C221" s="9" t="s">
        <v>597</v>
      </c>
      <c r="D221" s="9">
        <v>20</v>
      </c>
      <c r="E221" s="9" t="s">
        <v>152</v>
      </c>
      <c r="F221" s="9" t="s">
        <v>730</v>
      </c>
      <c r="G221" s="10">
        <v>0.79305555555555551</v>
      </c>
      <c r="H221" s="9" t="s">
        <v>110</v>
      </c>
      <c r="I221" s="9">
        <v>5.58</v>
      </c>
      <c r="J221" s="9" t="s">
        <v>54</v>
      </c>
      <c r="K221" s="9">
        <v>158</v>
      </c>
      <c r="L221" s="9">
        <v>107</v>
      </c>
      <c r="M221" s="9" t="s">
        <v>22</v>
      </c>
      <c r="N221" s="9">
        <v>14</v>
      </c>
      <c r="O221" s="9" t="s">
        <v>23</v>
      </c>
      <c r="P221" s="9" t="s">
        <v>24</v>
      </c>
      <c r="Q221" s="9" t="str">
        <f t="shared" si="42"/>
        <v>None</v>
      </c>
      <c r="R221" s="9">
        <f t="shared" si="43"/>
        <v>62.000000000000099</v>
      </c>
      <c r="S221" s="9">
        <f t="shared" si="44"/>
        <v>0.99999999999983658</v>
      </c>
      <c r="T221" s="9">
        <f t="shared" si="45"/>
        <v>5.9999999999999787</v>
      </c>
      <c r="U221" s="9">
        <f t="shared" si="55"/>
        <v>35.000000000000036</v>
      </c>
      <c r="V221" s="9">
        <f t="shared" si="46"/>
        <v>18</v>
      </c>
      <c r="W221" s="9" t="str">
        <f t="shared" si="47"/>
        <v>Peak Night</v>
      </c>
      <c r="X221" s="9" t="str">
        <f t="shared" si="48"/>
        <v>Peak</v>
      </c>
      <c r="Y221" s="23">
        <f t="shared" si="49"/>
        <v>0.15942857142857128</v>
      </c>
      <c r="Z221" s="23">
        <f t="shared" si="50"/>
        <v>19.17562724014337</v>
      </c>
      <c r="AA221" s="23">
        <f t="shared" si="51"/>
        <v>0.67721518987341767</v>
      </c>
      <c r="AB221" s="9" t="str">
        <f t="shared" si="52"/>
        <v>Late</v>
      </c>
      <c r="AC221" s="9" t="str">
        <f t="shared" si="53"/>
        <v>No Delay</v>
      </c>
      <c r="AD221" s="64" t="str">
        <f t="shared" si="54"/>
        <v>Long (5+km)</v>
      </c>
    </row>
    <row r="222" spans="1:30" x14ac:dyDescent="0.3">
      <c r="A222" s="8" t="s">
        <v>546</v>
      </c>
      <c r="B222" s="9" t="s">
        <v>93</v>
      </c>
      <c r="C222" s="9" t="s">
        <v>594</v>
      </c>
      <c r="D222" s="9">
        <v>34</v>
      </c>
      <c r="E222" s="9" t="s">
        <v>300</v>
      </c>
      <c r="F222" s="9" t="s">
        <v>244</v>
      </c>
      <c r="G222" s="10">
        <v>0.59513888888888888</v>
      </c>
      <c r="H222" s="9" t="s">
        <v>631</v>
      </c>
      <c r="I222" s="9">
        <v>3.82</v>
      </c>
      <c r="J222" s="9" t="s">
        <v>211</v>
      </c>
      <c r="K222" s="9">
        <v>209</v>
      </c>
      <c r="L222" s="9">
        <v>92</v>
      </c>
      <c r="M222" s="9" t="s">
        <v>22</v>
      </c>
      <c r="N222" s="9">
        <v>14</v>
      </c>
      <c r="O222" s="9" t="s">
        <v>23</v>
      </c>
      <c r="P222" s="9" t="s">
        <v>24</v>
      </c>
      <c r="Q222" s="9" t="str">
        <f t="shared" si="42"/>
        <v>Restaurant Delay</v>
      </c>
      <c r="R222" s="9">
        <f t="shared" si="43"/>
        <v>76.000000000000057</v>
      </c>
      <c r="S222" s="9">
        <f t="shared" si="44"/>
        <v>6.9999999999999751</v>
      </c>
      <c r="T222" s="9">
        <f t="shared" si="45"/>
        <v>0.99999999999999645</v>
      </c>
      <c r="U222" s="9">
        <f t="shared" si="55"/>
        <v>34.000000000000043</v>
      </c>
      <c r="V222" s="9">
        <f t="shared" si="46"/>
        <v>13</v>
      </c>
      <c r="W222" s="9" t="str">
        <f t="shared" si="47"/>
        <v>Afternoon</v>
      </c>
      <c r="X222" s="9" t="str">
        <f t="shared" si="48"/>
        <v>Peak</v>
      </c>
      <c r="Y222" s="23">
        <f t="shared" si="49"/>
        <v>0.11235294117647045</v>
      </c>
      <c r="Z222" s="23">
        <f t="shared" si="50"/>
        <v>24.083769633507856</v>
      </c>
      <c r="AA222" s="23">
        <f t="shared" si="51"/>
        <v>0.44019138755980863</v>
      </c>
      <c r="AB222" s="9" t="str">
        <f t="shared" si="52"/>
        <v>Late</v>
      </c>
      <c r="AC222" s="9" t="str">
        <f t="shared" si="53"/>
        <v>No Delay</v>
      </c>
      <c r="AD222" s="64" t="str">
        <f t="shared" si="54"/>
        <v>Medium (2-5km)</v>
      </c>
    </row>
    <row r="223" spans="1:30" x14ac:dyDescent="0.3">
      <c r="A223" s="8" t="s">
        <v>547</v>
      </c>
      <c r="B223" s="9" t="s">
        <v>418</v>
      </c>
      <c r="C223" s="9" t="s">
        <v>594</v>
      </c>
      <c r="D223" s="9">
        <v>28</v>
      </c>
      <c r="E223" s="9" t="s">
        <v>335</v>
      </c>
      <c r="F223" s="9" t="s">
        <v>432</v>
      </c>
      <c r="G223" s="10">
        <v>0.85277777777777786</v>
      </c>
      <c r="H223" s="9" t="s">
        <v>635</v>
      </c>
      <c r="I223" s="9">
        <v>3.58</v>
      </c>
      <c r="J223" s="9" t="s">
        <v>62</v>
      </c>
      <c r="K223" s="9">
        <v>208</v>
      </c>
      <c r="L223" s="9">
        <v>93</v>
      </c>
      <c r="M223" s="9" t="s">
        <v>22</v>
      </c>
      <c r="N223" s="9">
        <v>9</v>
      </c>
      <c r="O223" s="9" t="s">
        <v>34</v>
      </c>
      <c r="P223" s="9" t="s">
        <v>24</v>
      </c>
      <c r="Q223" s="9" t="str">
        <f t="shared" si="42"/>
        <v>Traffic</v>
      </c>
      <c r="R223" s="9">
        <f t="shared" si="43"/>
        <v>71.999999999999901</v>
      </c>
      <c r="S223" s="9">
        <f t="shared" si="44"/>
        <v>7.000000000000135</v>
      </c>
      <c r="T223" s="9">
        <f t="shared" si="45"/>
        <v>10.999999999999961</v>
      </c>
      <c r="U223" s="9">
        <f t="shared" si="55"/>
        <v>25.999999999999748</v>
      </c>
      <c r="V223" s="9">
        <f t="shared" si="46"/>
        <v>19</v>
      </c>
      <c r="W223" s="9" t="str">
        <f t="shared" si="47"/>
        <v>Peak Night</v>
      </c>
      <c r="X223" s="9" t="str">
        <f t="shared" si="48"/>
        <v>Peak</v>
      </c>
      <c r="Y223" s="23">
        <f t="shared" si="49"/>
        <v>0.13769230769230903</v>
      </c>
      <c r="Z223" s="23">
        <f t="shared" si="50"/>
        <v>25.977653631284916</v>
      </c>
      <c r="AA223" s="23">
        <f t="shared" si="51"/>
        <v>0.44711538461538464</v>
      </c>
      <c r="AB223" s="9" t="str">
        <f t="shared" si="52"/>
        <v>Late</v>
      </c>
      <c r="AC223" s="9" t="str">
        <f t="shared" si="53"/>
        <v>No Delay</v>
      </c>
      <c r="AD223" s="64" t="str">
        <f t="shared" si="54"/>
        <v>Medium (2-5km)</v>
      </c>
    </row>
    <row r="224" spans="1:30" x14ac:dyDescent="0.3">
      <c r="A224" s="8" t="s">
        <v>549</v>
      </c>
      <c r="B224" s="9" t="s">
        <v>629</v>
      </c>
      <c r="C224" s="9" t="s">
        <v>597</v>
      </c>
      <c r="D224" s="9">
        <v>18</v>
      </c>
      <c r="E224" s="9" t="s">
        <v>156</v>
      </c>
      <c r="F224" s="9" t="s">
        <v>603</v>
      </c>
      <c r="G224" s="10">
        <v>0.65555555555555556</v>
      </c>
      <c r="H224" s="9" t="s">
        <v>775</v>
      </c>
      <c r="I224" s="9">
        <v>7.32</v>
      </c>
      <c r="J224" s="9" t="s">
        <v>69</v>
      </c>
      <c r="K224" s="9">
        <v>262</v>
      </c>
      <c r="L224" s="9">
        <v>122</v>
      </c>
      <c r="M224" s="9" t="s">
        <v>22</v>
      </c>
      <c r="N224" s="9">
        <v>19</v>
      </c>
      <c r="O224" s="9" t="s">
        <v>55</v>
      </c>
      <c r="P224" s="9" t="s">
        <v>24</v>
      </c>
      <c r="Q224" s="9" t="str">
        <f t="shared" si="42"/>
        <v>Distance</v>
      </c>
      <c r="R224" s="9">
        <f t="shared" si="43"/>
        <v>67.999999999999915</v>
      </c>
      <c r="S224" s="9">
        <f t="shared" si="44"/>
        <v>2.9999999999999893</v>
      </c>
      <c r="T224" s="9">
        <f t="shared" si="45"/>
        <v>4.9999999999999822</v>
      </c>
      <c r="U224" s="9">
        <f t="shared" si="55"/>
        <v>42.000000000000014</v>
      </c>
      <c r="V224" s="9">
        <f t="shared" si="46"/>
        <v>15</v>
      </c>
      <c r="W224" s="9" t="str">
        <f t="shared" si="47"/>
        <v>Evening</v>
      </c>
      <c r="X224" s="9" t="str">
        <f t="shared" si="48"/>
        <v>Off-Peak</v>
      </c>
      <c r="Y224" s="23">
        <f t="shared" si="49"/>
        <v>0.17428571428571424</v>
      </c>
      <c r="Z224" s="23">
        <f t="shared" si="50"/>
        <v>16.666666666666664</v>
      </c>
      <c r="AA224" s="23">
        <f t="shared" si="51"/>
        <v>0.46564885496183206</v>
      </c>
      <c r="AB224" s="9" t="str">
        <f t="shared" si="52"/>
        <v>Late</v>
      </c>
      <c r="AC224" s="9" t="str">
        <f t="shared" si="53"/>
        <v>No Delay</v>
      </c>
      <c r="AD224" s="64" t="str">
        <f t="shared" si="54"/>
        <v>Long (5+km)</v>
      </c>
    </row>
    <row r="225" spans="1:30" x14ac:dyDescent="0.3">
      <c r="A225" s="8" t="s">
        <v>550</v>
      </c>
      <c r="B225" s="9" t="s">
        <v>87</v>
      </c>
      <c r="C225" s="9" t="s">
        <v>597</v>
      </c>
      <c r="D225" s="9">
        <v>18</v>
      </c>
      <c r="E225" s="9" t="s">
        <v>736</v>
      </c>
      <c r="F225" s="9" t="s">
        <v>736</v>
      </c>
      <c r="G225" s="10">
        <v>0.79722222222222228</v>
      </c>
      <c r="H225" s="9" t="s">
        <v>416</v>
      </c>
      <c r="I225" s="9">
        <v>2.37</v>
      </c>
      <c r="J225" s="9" t="s">
        <v>65</v>
      </c>
      <c r="K225" s="9">
        <v>208</v>
      </c>
      <c r="L225" s="9">
        <v>75</v>
      </c>
      <c r="M225" s="9" t="s">
        <v>22</v>
      </c>
      <c r="N225" s="9">
        <v>18</v>
      </c>
      <c r="O225" s="9" t="s">
        <v>23</v>
      </c>
      <c r="P225" s="9" t="s">
        <v>24</v>
      </c>
      <c r="Q225" s="9" t="str">
        <f t="shared" si="42"/>
        <v>None</v>
      </c>
      <c r="R225" s="9">
        <f t="shared" si="43"/>
        <v>43.000000000000007</v>
      </c>
      <c r="S225" s="9">
        <f t="shared" si="44"/>
        <v>0</v>
      </c>
      <c r="T225" s="9">
        <f t="shared" si="45"/>
        <v>5.9999999999999787</v>
      </c>
      <c r="U225" s="9">
        <f t="shared" si="55"/>
        <v>18.999999999999932</v>
      </c>
      <c r="V225" s="9">
        <f t="shared" si="46"/>
        <v>18</v>
      </c>
      <c r="W225" s="9" t="str">
        <f t="shared" si="47"/>
        <v>Peak Night</v>
      </c>
      <c r="X225" s="9" t="str">
        <f t="shared" si="48"/>
        <v>Peak</v>
      </c>
      <c r="Y225" s="23">
        <f t="shared" si="49"/>
        <v>0.1247368421052636</v>
      </c>
      <c r="Z225" s="23">
        <f t="shared" si="50"/>
        <v>31.645569620253163</v>
      </c>
      <c r="AA225" s="23">
        <f t="shared" si="51"/>
        <v>0.36057692307692307</v>
      </c>
      <c r="AB225" s="9" t="str">
        <f t="shared" si="52"/>
        <v>On-Time</v>
      </c>
      <c r="AC225" s="9" t="str">
        <f t="shared" si="53"/>
        <v>No Delay</v>
      </c>
      <c r="AD225" s="64" t="str">
        <f t="shared" si="54"/>
        <v>Medium (2-5km)</v>
      </c>
    </row>
    <row r="226" spans="1:30" x14ac:dyDescent="0.3">
      <c r="A226" s="8" t="s">
        <v>551</v>
      </c>
      <c r="B226" s="9" t="s">
        <v>270</v>
      </c>
      <c r="C226" s="9" t="s">
        <v>597</v>
      </c>
      <c r="D226" s="9">
        <v>10</v>
      </c>
      <c r="E226" s="9" t="s">
        <v>379</v>
      </c>
      <c r="F226" s="9" t="s">
        <v>379</v>
      </c>
      <c r="G226" s="10">
        <v>0.52222222222222225</v>
      </c>
      <c r="H226" s="9" t="s">
        <v>75</v>
      </c>
      <c r="I226" s="9">
        <v>3.54</v>
      </c>
      <c r="J226" s="9" t="s">
        <v>90</v>
      </c>
      <c r="K226" s="9">
        <v>171</v>
      </c>
      <c r="L226" s="9">
        <v>88</v>
      </c>
      <c r="M226" s="9" t="s">
        <v>22</v>
      </c>
      <c r="N226" s="9">
        <v>13</v>
      </c>
      <c r="O226" s="9" t="s">
        <v>23</v>
      </c>
      <c r="P226" s="9" t="s">
        <v>24</v>
      </c>
      <c r="Q226" s="9" t="str">
        <f t="shared" si="42"/>
        <v>None</v>
      </c>
      <c r="R226" s="9">
        <f t="shared" si="43"/>
        <v>41.999999999999851</v>
      </c>
      <c r="S226" s="9">
        <f t="shared" si="44"/>
        <v>0</v>
      </c>
      <c r="T226" s="9">
        <f t="shared" si="45"/>
        <v>5.9999999999999787</v>
      </c>
      <c r="U226" s="9">
        <f t="shared" si="55"/>
        <v>25.999999999999908</v>
      </c>
      <c r="V226" s="9">
        <f t="shared" si="46"/>
        <v>12</v>
      </c>
      <c r="W226" s="9" t="str">
        <f t="shared" si="47"/>
        <v>Afternoon</v>
      </c>
      <c r="X226" s="9" t="str">
        <f t="shared" si="48"/>
        <v>Peak</v>
      </c>
      <c r="Y226" s="23">
        <f t="shared" si="49"/>
        <v>0.13615384615384665</v>
      </c>
      <c r="Z226" s="23">
        <f t="shared" si="50"/>
        <v>24.858757062146893</v>
      </c>
      <c r="AA226" s="23">
        <f t="shared" si="51"/>
        <v>0.51461988304093564</v>
      </c>
      <c r="AB226" s="9" t="str">
        <f t="shared" si="52"/>
        <v>On-Time</v>
      </c>
      <c r="AC226" s="9" t="str">
        <f t="shared" si="53"/>
        <v>No Delay</v>
      </c>
      <c r="AD226" s="64" t="str">
        <f t="shared" si="54"/>
        <v>Medium (2-5km)</v>
      </c>
    </row>
    <row r="227" spans="1:30" x14ac:dyDescent="0.3">
      <c r="A227" s="8" t="s">
        <v>552</v>
      </c>
      <c r="B227" s="9" t="s">
        <v>793</v>
      </c>
      <c r="C227" s="9" t="s">
        <v>597</v>
      </c>
      <c r="D227" s="9">
        <v>13</v>
      </c>
      <c r="E227" s="9" t="s">
        <v>244</v>
      </c>
      <c r="F227" s="9" t="s">
        <v>120</v>
      </c>
      <c r="G227" s="10">
        <v>0.59930555555555554</v>
      </c>
      <c r="H227" s="9" t="s">
        <v>384</v>
      </c>
      <c r="I227" s="9">
        <v>5.51</v>
      </c>
      <c r="J227" s="9" t="s">
        <v>69</v>
      </c>
      <c r="K227" s="9">
        <v>192</v>
      </c>
      <c r="L227" s="9">
        <v>103</v>
      </c>
      <c r="M227" s="9" t="s">
        <v>22</v>
      </c>
      <c r="N227" s="9">
        <v>15</v>
      </c>
      <c r="O227" s="9" t="s">
        <v>55</v>
      </c>
      <c r="P227" s="9" t="s">
        <v>24</v>
      </c>
      <c r="Q227" s="9" t="str">
        <f t="shared" si="42"/>
        <v>None</v>
      </c>
      <c r="R227" s="9">
        <f t="shared" si="43"/>
        <v>50.999999999999979</v>
      </c>
      <c r="S227" s="9">
        <f t="shared" si="44"/>
        <v>0.99999999999999645</v>
      </c>
      <c r="T227" s="9">
        <f t="shared" si="45"/>
        <v>5.9999999999999787</v>
      </c>
      <c r="U227" s="9">
        <f t="shared" si="55"/>
        <v>31.00000000000005</v>
      </c>
      <c r="V227" s="9">
        <f t="shared" si="46"/>
        <v>14</v>
      </c>
      <c r="W227" s="9" t="str">
        <f t="shared" si="47"/>
        <v>Afternoon</v>
      </c>
      <c r="X227" s="9" t="str">
        <f t="shared" si="48"/>
        <v>Off-Peak</v>
      </c>
      <c r="Y227" s="23">
        <f t="shared" si="49"/>
        <v>0.17774193548387068</v>
      </c>
      <c r="Z227" s="23">
        <f t="shared" si="50"/>
        <v>18.693284936479131</v>
      </c>
      <c r="AA227" s="23">
        <f t="shared" si="51"/>
        <v>0.53645833333333337</v>
      </c>
      <c r="AB227" s="9" t="str">
        <f t="shared" si="52"/>
        <v>Late</v>
      </c>
      <c r="AC227" s="9" t="str">
        <f t="shared" si="53"/>
        <v>No Delay</v>
      </c>
      <c r="AD227" s="64" t="str">
        <f t="shared" si="54"/>
        <v>Long (5+km)</v>
      </c>
    </row>
    <row r="228" spans="1:30" x14ac:dyDescent="0.3">
      <c r="A228" s="8" t="s">
        <v>553</v>
      </c>
      <c r="B228" s="9" t="s">
        <v>764</v>
      </c>
      <c r="C228" s="9" t="s">
        <v>597</v>
      </c>
      <c r="D228" s="9">
        <v>17</v>
      </c>
      <c r="E228" s="9" t="s">
        <v>774</v>
      </c>
      <c r="F228" s="9" t="s">
        <v>331</v>
      </c>
      <c r="G228" s="10">
        <v>0.44513888888888892</v>
      </c>
      <c r="H228" s="9" t="s">
        <v>257</v>
      </c>
      <c r="I228" s="9">
        <v>7.31</v>
      </c>
      <c r="J228" s="9" t="s">
        <v>65</v>
      </c>
      <c r="K228" s="9">
        <v>239</v>
      </c>
      <c r="L228" s="9">
        <v>123</v>
      </c>
      <c r="M228" s="9" t="s">
        <v>22</v>
      </c>
      <c r="N228" s="9">
        <v>16</v>
      </c>
      <c r="O228" s="9" t="s">
        <v>23</v>
      </c>
      <c r="P228" s="9" t="s">
        <v>24</v>
      </c>
      <c r="Q228" s="9" t="str">
        <f t="shared" si="42"/>
        <v>Distance</v>
      </c>
      <c r="R228" s="9">
        <f t="shared" si="43"/>
        <v>66.999999999999915</v>
      </c>
      <c r="S228" s="9">
        <f t="shared" si="44"/>
        <v>1.9999999999999929</v>
      </c>
      <c r="T228" s="9">
        <f t="shared" si="45"/>
        <v>3.9999999999999858</v>
      </c>
      <c r="U228" s="9">
        <f t="shared" si="55"/>
        <v>43.999999999999922</v>
      </c>
      <c r="V228" s="9">
        <f t="shared" si="46"/>
        <v>10</v>
      </c>
      <c r="W228" s="9" t="str">
        <f t="shared" si="47"/>
        <v>Late Morning</v>
      </c>
      <c r="X228" s="9" t="str">
        <f t="shared" si="48"/>
        <v>Off-Peak</v>
      </c>
      <c r="Y228" s="23">
        <f t="shared" si="49"/>
        <v>0.16613636363636392</v>
      </c>
      <c r="Z228" s="23">
        <f t="shared" si="50"/>
        <v>16.82626538987688</v>
      </c>
      <c r="AA228" s="23">
        <f t="shared" si="51"/>
        <v>0.5146443514644351</v>
      </c>
      <c r="AB228" s="9" t="str">
        <f t="shared" si="52"/>
        <v>Late</v>
      </c>
      <c r="AC228" s="9" t="str">
        <f t="shared" si="53"/>
        <v>No Delay</v>
      </c>
      <c r="AD228" s="64" t="str">
        <f t="shared" si="54"/>
        <v>Long (5+km)</v>
      </c>
    </row>
    <row r="229" spans="1:30" x14ac:dyDescent="0.3">
      <c r="A229" s="8" t="s">
        <v>554</v>
      </c>
      <c r="B229" s="9" t="s">
        <v>596</v>
      </c>
      <c r="C229" s="9" t="s">
        <v>594</v>
      </c>
      <c r="D229" s="9">
        <v>35</v>
      </c>
      <c r="E229" s="9" t="s">
        <v>782</v>
      </c>
      <c r="F229" s="9" t="s">
        <v>687</v>
      </c>
      <c r="G229" s="10">
        <v>0.79513888888888884</v>
      </c>
      <c r="H229" s="9" t="s">
        <v>150</v>
      </c>
      <c r="I229" s="9">
        <v>7.53</v>
      </c>
      <c r="J229" s="9" t="s">
        <v>129</v>
      </c>
      <c r="K229" s="9">
        <v>304</v>
      </c>
      <c r="L229" s="9">
        <v>130</v>
      </c>
      <c r="M229" s="9" t="s">
        <v>22</v>
      </c>
      <c r="N229" s="9">
        <v>17</v>
      </c>
      <c r="O229" s="9" t="s">
        <v>23</v>
      </c>
      <c r="P229" s="9" t="s">
        <v>24</v>
      </c>
      <c r="Q229" s="9" t="str">
        <f t="shared" si="42"/>
        <v>Restaurant Delay</v>
      </c>
      <c r="R229" s="9">
        <f t="shared" si="43"/>
        <v>98.999999999999972</v>
      </c>
      <c r="S229" s="9">
        <f t="shared" si="44"/>
        <v>9.9999999999999645</v>
      </c>
      <c r="T229" s="9">
        <f t="shared" si="45"/>
        <v>0.99999999999999645</v>
      </c>
      <c r="U229" s="9">
        <f t="shared" si="55"/>
        <v>52.999999999999972</v>
      </c>
      <c r="V229" s="9">
        <f t="shared" si="46"/>
        <v>18</v>
      </c>
      <c r="W229" s="9" t="str">
        <f t="shared" si="47"/>
        <v>Peak Night</v>
      </c>
      <c r="X229" s="9" t="str">
        <f t="shared" si="48"/>
        <v>Peak</v>
      </c>
      <c r="Y229" s="23">
        <f t="shared" si="49"/>
        <v>0.1420754716981133</v>
      </c>
      <c r="Z229" s="23">
        <f t="shared" si="50"/>
        <v>17.264276228419654</v>
      </c>
      <c r="AA229" s="23">
        <f t="shared" si="51"/>
        <v>0.42763157894736842</v>
      </c>
      <c r="AB229" s="9" t="str">
        <f t="shared" si="52"/>
        <v>Late</v>
      </c>
      <c r="AC229" s="9" t="str">
        <f t="shared" si="53"/>
        <v>No Delay</v>
      </c>
      <c r="AD229" s="64" t="str">
        <f t="shared" si="54"/>
        <v>Long (5+km)</v>
      </c>
    </row>
    <row r="230" spans="1:30" x14ac:dyDescent="0.3">
      <c r="A230" s="8" t="s">
        <v>555</v>
      </c>
      <c r="B230" s="9" t="s">
        <v>493</v>
      </c>
      <c r="C230" s="9" t="s">
        <v>594</v>
      </c>
      <c r="D230" s="9">
        <v>35</v>
      </c>
      <c r="E230" s="9" t="s">
        <v>754</v>
      </c>
      <c r="F230" s="9" t="s">
        <v>638</v>
      </c>
      <c r="G230" s="10">
        <v>0.86041666666666661</v>
      </c>
      <c r="H230" s="9" t="s">
        <v>794</v>
      </c>
      <c r="I230" s="9">
        <v>2.83</v>
      </c>
      <c r="J230" s="9" t="s">
        <v>28</v>
      </c>
      <c r="K230" s="9">
        <v>232</v>
      </c>
      <c r="L230" s="9">
        <v>84</v>
      </c>
      <c r="M230" s="9" t="s">
        <v>22</v>
      </c>
      <c r="N230" s="9">
        <v>11</v>
      </c>
      <c r="O230" s="9" t="s">
        <v>34</v>
      </c>
      <c r="P230" s="9" t="s">
        <v>24</v>
      </c>
      <c r="Q230" s="9" t="str">
        <f t="shared" si="42"/>
        <v>Traffic</v>
      </c>
      <c r="R230" s="9">
        <f t="shared" si="43"/>
        <v>77.000000000000043</v>
      </c>
      <c r="S230" s="9">
        <f t="shared" si="44"/>
        <v>9.9999999999998046</v>
      </c>
      <c r="T230" s="9">
        <f t="shared" si="45"/>
        <v>7.9999999999999716</v>
      </c>
      <c r="U230" s="9">
        <f t="shared" si="55"/>
        <v>24.000000000000075</v>
      </c>
      <c r="V230" s="9">
        <f t="shared" si="46"/>
        <v>19</v>
      </c>
      <c r="W230" s="9" t="str">
        <f t="shared" si="47"/>
        <v>Peak Night</v>
      </c>
      <c r="X230" s="9" t="str">
        <f t="shared" si="48"/>
        <v>Peak</v>
      </c>
      <c r="Y230" s="23">
        <f t="shared" si="49"/>
        <v>0.11791666666666631</v>
      </c>
      <c r="Z230" s="23">
        <f t="shared" si="50"/>
        <v>29.68197879858657</v>
      </c>
      <c r="AA230" s="23">
        <f t="shared" si="51"/>
        <v>0.36206896551724138</v>
      </c>
      <c r="AB230" s="9" t="str">
        <f t="shared" si="52"/>
        <v>Late</v>
      </c>
      <c r="AC230" s="9" t="str">
        <f t="shared" si="53"/>
        <v>No Delay</v>
      </c>
      <c r="AD230" s="64" t="str">
        <f t="shared" si="54"/>
        <v>Medium (2-5km)</v>
      </c>
    </row>
    <row r="231" spans="1:30" x14ac:dyDescent="0.3">
      <c r="A231" s="8" t="s">
        <v>558</v>
      </c>
      <c r="B231" s="9" t="s">
        <v>136</v>
      </c>
      <c r="C231" s="9" t="s">
        <v>597</v>
      </c>
      <c r="D231" s="9">
        <v>13</v>
      </c>
      <c r="E231" s="9" t="s">
        <v>646</v>
      </c>
      <c r="F231" s="9" t="s">
        <v>661</v>
      </c>
      <c r="G231" s="10">
        <v>0.55694444444444446</v>
      </c>
      <c r="H231" s="9" t="s">
        <v>299</v>
      </c>
      <c r="I231" s="9">
        <v>6.84</v>
      </c>
      <c r="J231" s="9" t="s">
        <v>122</v>
      </c>
      <c r="K231" s="9">
        <v>393</v>
      </c>
      <c r="L231" s="9">
        <v>120</v>
      </c>
      <c r="M231" s="9" t="s">
        <v>22</v>
      </c>
      <c r="N231" s="9">
        <v>14</v>
      </c>
      <c r="O231" s="9" t="s">
        <v>23</v>
      </c>
      <c r="P231" s="9" t="s">
        <v>24</v>
      </c>
      <c r="Q231" s="9" t="str">
        <f t="shared" si="42"/>
        <v>Distance</v>
      </c>
      <c r="R231" s="9">
        <f t="shared" si="43"/>
        <v>63.000000000000099</v>
      </c>
      <c r="S231" s="9">
        <f t="shared" si="44"/>
        <v>1.9999999999999929</v>
      </c>
      <c r="T231" s="9">
        <f t="shared" si="45"/>
        <v>2.9999999999999893</v>
      </c>
      <c r="U231" s="9">
        <f t="shared" si="55"/>
        <v>45</v>
      </c>
      <c r="V231" s="9">
        <f t="shared" si="46"/>
        <v>13</v>
      </c>
      <c r="W231" s="9" t="str">
        <f t="shared" si="47"/>
        <v>Afternoon</v>
      </c>
      <c r="X231" s="9" t="str">
        <f t="shared" si="48"/>
        <v>Peak</v>
      </c>
      <c r="Y231" s="23">
        <f t="shared" si="49"/>
        <v>0.152</v>
      </c>
      <c r="Z231" s="23">
        <f t="shared" si="50"/>
        <v>17.543859649122808</v>
      </c>
      <c r="AA231" s="23">
        <f t="shared" si="51"/>
        <v>0.30534351145038169</v>
      </c>
      <c r="AB231" s="9" t="str">
        <f t="shared" si="52"/>
        <v>Late</v>
      </c>
      <c r="AC231" s="9" t="str">
        <f t="shared" si="53"/>
        <v>No Delay</v>
      </c>
      <c r="AD231" s="64" t="str">
        <f t="shared" si="54"/>
        <v>Long (5+km)</v>
      </c>
    </row>
    <row r="232" spans="1:30" x14ac:dyDescent="0.3">
      <c r="A232" s="8" t="s">
        <v>561</v>
      </c>
      <c r="B232" s="9" t="s">
        <v>71</v>
      </c>
      <c r="C232" s="9" t="s">
        <v>597</v>
      </c>
      <c r="D232" s="9">
        <v>14</v>
      </c>
      <c r="E232" s="9" t="s">
        <v>651</v>
      </c>
      <c r="F232" s="9" t="s">
        <v>651</v>
      </c>
      <c r="G232" s="10">
        <v>0.72430555555555554</v>
      </c>
      <c r="H232" s="9" t="s">
        <v>654</v>
      </c>
      <c r="I232" s="9">
        <v>3.04</v>
      </c>
      <c r="J232" s="9" t="s">
        <v>90</v>
      </c>
      <c r="K232" s="9">
        <v>387</v>
      </c>
      <c r="L232" s="9">
        <v>85</v>
      </c>
      <c r="M232" s="9" t="s">
        <v>22</v>
      </c>
      <c r="N232" s="9">
        <v>13</v>
      </c>
      <c r="O232" s="9" t="s">
        <v>23</v>
      </c>
      <c r="P232" s="9" t="s">
        <v>24</v>
      </c>
      <c r="Q232" s="9" t="str">
        <f t="shared" si="42"/>
        <v>None</v>
      </c>
      <c r="R232" s="9">
        <f t="shared" si="43"/>
        <v>46.000000000000156</v>
      </c>
      <c r="S232" s="9">
        <f t="shared" si="44"/>
        <v>0</v>
      </c>
      <c r="T232" s="9">
        <f t="shared" si="45"/>
        <v>3.9999999999999858</v>
      </c>
      <c r="U232" s="9">
        <f t="shared" si="55"/>
        <v>28.00000000000006</v>
      </c>
      <c r="V232" s="9">
        <f t="shared" si="46"/>
        <v>17</v>
      </c>
      <c r="W232" s="9" t="str">
        <f t="shared" si="47"/>
        <v>Evening</v>
      </c>
      <c r="X232" s="9" t="str">
        <f t="shared" si="48"/>
        <v>Peak</v>
      </c>
      <c r="Y232" s="23">
        <f t="shared" si="49"/>
        <v>0.10857142857142833</v>
      </c>
      <c r="Z232" s="23">
        <f t="shared" si="50"/>
        <v>27.960526315789473</v>
      </c>
      <c r="AA232" s="23">
        <f t="shared" si="51"/>
        <v>0.21963824289405684</v>
      </c>
      <c r="AB232" s="9" t="str">
        <f t="shared" si="52"/>
        <v>Late</v>
      </c>
      <c r="AC232" s="9" t="str">
        <f t="shared" si="53"/>
        <v>No Delay</v>
      </c>
      <c r="AD232" s="64" t="str">
        <f t="shared" si="54"/>
        <v>Medium (2-5km)</v>
      </c>
    </row>
    <row r="233" spans="1:30" x14ac:dyDescent="0.3">
      <c r="A233" s="8" t="s">
        <v>562</v>
      </c>
      <c r="B233" s="9" t="s">
        <v>410</v>
      </c>
      <c r="C233" s="9" t="s">
        <v>597</v>
      </c>
      <c r="D233" s="9">
        <v>20</v>
      </c>
      <c r="E233" s="9" t="s">
        <v>253</v>
      </c>
      <c r="F233" s="9" t="s">
        <v>254</v>
      </c>
      <c r="G233" s="10">
        <v>0.58680555555555558</v>
      </c>
      <c r="H233" s="9" t="s">
        <v>291</v>
      </c>
      <c r="I233" s="9">
        <v>4.46</v>
      </c>
      <c r="J233" s="9" t="s">
        <v>33</v>
      </c>
      <c r="K233" s="9">
        <v>322</v>
      </c>
      <c r="L233" s="9">
        <v>98</v>
      </c>
      <c r="M233" s="9" t="s">
        <v>22</v>
      </c>
      <c r="N233" s="9">
        <v>17</v>
      </c>
      <c r="O233" s="9" t="s">
        <v>23</v>
      </c>
      <c r="P233" s="9" t="s">
        <v>24</v>
      </c>
      <c r="Q233" s="9" t="str">
        <f t="shared" si="42"/>
        <v>None</v>
      </c>
      <c r="R233" s="9">
        <f t="shared" si="43"/>
        <v>59.999999999999943</v>
      </c>
      <c r="S233" s="9">
        <f t="shared" si="44"/>
        <v>1.9999999999999929</v>
      </c>
      <c r="T233" s="9">
        <f t="shared" si="45"/>
        <v>0.99999999999999645</v>
      </c>
      <c r="U233" s="9">
        <f t="shared" si="55"/>
        <v>36.999999999999872</v>
      </c>
      <c r="V233" s="9">
        <f t="shared" si="46"/>
        <v>13</v>
      </c>
      <c r="W233" s="9" t="str">
        <f t="shared" si="47"/>
        <v>Afternoon</v>
      </c>
      <c r="X233" s="9" t="str">
        <f t="shared" si="48"/>
        <v>Peak</v>
      </c>
      <c r="Y233" s="23">
        <f t="shared" si="49"/>
        <v>0.12054054054054096</v>
      </c>
      <c r="Z233" s="23">
        <f t="shared" si="50"/>
        <v>21.973094170403588</v>
      </c>
      <c r="AA233" s="23">
        <f t="shared" si="51"/>
        <v>0.30434782608695654</v>
      </c>
      <c r="AB233" s="9" t="str">
        <f t="shared" si="52"/>
        <v>Late</v>
      </c>
      <c r="AC233" s="9" t="str">
        <f t="shared" si="53"/>
        <v>No Delay</v>
      </c>
      <c r="AD233" s="64" t="str">
        <f t="shared" si="54"/>
        <v>Medium (2-5km)</v>
      </c>
    </row>
    <row r="234" spans="1:30" x14ac:dyDescent="0.3">
      <c r="A234" s="8" t="s">
        <v>563</v>
      </c>
      <c r="B234" s="9" t="s">
        <v>788</v>
      </c>
      <c r="C234" s="9" t="s">
        <v>594</v>
      </c>
      <c r="D234" s="9">
        <v>28</v>
      </c>
      <c r="E234" s="9" t="s">
        <v>186</v>
      </c>
      <c r="F234" s="9" t="s">
        <v>412</v>
      </c>
      <c r="G234" s="10">
        <v>0.67500000000000004</v>
      </c>
      <c r="H234" s="9" t="s">
        <v>523</v>
      </c>
      <c r="I234" s="9">
        <v>4.66</v>
      </c>
      <c r="J234" s="9" t="s">
        <v>40</v>
      </c>
      <c r="K234" s="9">
        <v>199</v>
      </c>
      <c r="L234" s="9">
        <v>93</v>
      </c>
      <c r="M234" s="9" t="s">
        <v>22</v>
      </c>
      <c r="N234" s="9">
        <v>18</v>
      </c>
      <c r="O234" s="9" t="s">
        <v>55</v>
      </c>
      <c r="P234" s="9" t="s">
        <v>24</v>
      </c>
      <c r="Q234" s="9" t="str">
        <f t="shared" si="42"/>
        <v>Restaurant Delay</v>
      </c>
      <c r="R234" s="9">
        <f t="shared" si="43"/>
        <v>68.999999999999915</v>
      </c>
      <c r="S234" s="9">
        <f t="shared" si="44"/>
        <v>9.0000000000001279</v>
      </c>
      <c r="T234" s="9">
        <f t="shared" si="45"/>
        <v>4.9999999999999822</v>
      </c>
      <c r="U234" s="9">
        <f t="shared" si="55"/>
        <v>26.999999999999904</v>
      </c>
      <c r="V234" s="9">
        <f t="shared" si="46"/>
        <v>15</v>
      </c>
      <c r="W234" s="9" t="str">
        <f t="shared" si="47"/>
        <v>Evening</v>
      </c>
      <c r="X234" s="9" t="str">
        <f t="shared" si="48"/>
        <v>Off-Peak</v>
      </c>
      <c r="Y234" s="23">
        <f t="shared" si="49"/>
        <v>0.17259259259259321</v>
      </c>
      <c r="Z234" s="23">
        <f t="shared" si="50"/>
        <v>19.957081545064376</v>
      </c>
      <c r="AA234" s="23">
        <f t="shared" si="51"/>
        <v>0.46733668341708545</v>
      </c>
      <c r="AB234" s="9" t="str">
        <f t="shared" si="52"/>
        <v>Late</v>
      </c>
      <c r="AC234" s="9" t="str">
        <f t="shared" si="53"/>
        <v>No Delay</v>
      </c>
      <c r="AD234" s="64" t="str">
        <f t="shared" si="54"/>
        <v>Medium (2-5km)</v>
      </c>
    </row>
    <row r="235" spans="1:30" x14ac:dyDescent="0.3">
      <c r="A235" s="8" t="s">
        <v>564</v>
      </c>
      <c r="B235" s="9" t="s">
        <v>499</v>
      </c>
      <c r="C235" s="9" t="s">
        <v>597</v>
      </c>
      <c r="D235" s="9">
        <v>17</v>
      </c>
      <c r="E235" s="9" t="s">
        <v>369</v>
      </c>
      <c r="F235" s="9" t="s">
        <v>753</v>
      </c>
      <c r="G235" s="10">
        <v>0.75208333333333321</v>
      </c>
      <c r="H235" s="9" t="s">
        <v>715</v>
      </c>
      <c r="I235" s="9">
        <v>1.26</v>
      </c>
      <c r="J235" s="9" t="s">
        <v>118</v>
      </c>
      <c r="K235" s="9">
        <v>159</v>
      </c>
      <c r="L235" s="9">
        <v>63</v>
      </c>
      <c r="M235" s="9" t="s">
        <v>77</v>
      </c>
      <c r="N235" s="9">
        <v>17</v>
      </c>
      <c r="O235" s="9" t="s">
        <v>23</v>
      </c>
      <c r="P235" s="9" t="s">
        <v>78</v>
      </c>
      <c r="Q235" s="9" t="str">
        <f t="shared" si="42"/>
        <v>Restaurant Delay</v>
      </c>
      <c r="R235" s="9">
        <f t="shared" si="43"/>
        <v>37.000000000000028</v>
      </c>
      <c r="S235" s="9">
        <f t="shared" si="44"/>
        <v>0.99999999999983658</v>
      </c>
      <c r="T235" s="9">
        <f t="shared" si="45"/>
        <v>4.9999999999999822</v>
      </c>
      <c r="U235" s="9">
        <f t="shared" si="55"/>
        <v>14.00000000000027</v>
      </c>
      <c r="V235" s="9">
        <f t="shared" si="46"/>
        <v>17</v>
      </c>
      <c r="W235" s="9" t="str">
        <f t="shared" si="47"/>
        <v>Evening</v>
      </c>
      <c r="X235" s="9" t="str">
        <f t="shared" si="48"/>
        <v>Peak</v>
      </c>
      <c r="Y235" s="23">
        <f t="shared" si="49"/>
        <v>8.9999999999998262E-2</v>
      </c>
      <c r="Z235" s="23">
        <f t="shared" si="50"/>
        <v>50</v>
      </c>
      <c r="AA235" s="23">
        <f t="shared" si="51"/>
        <v>0.39622641509433965</v>
      </c>
      <c r="AB235" s="9" t="str">
        <f t="shared" si="52"/>
        <v>On-Time</v>
      </c>
      <c r="AC235" s="9" t="str">
        <f t="shared" si="53"/>
        <v>Restaurant Delay</v>
      </c>
      <c r="AD235" s="64" t="str">
        <f t="shared" si="54"/>
        <v>Short (0-2km)</v>
      </c>
    </row>
    <row r="236" spans="1:30" x14ac:dyDescent="0.3">
      <c r="A236" s="8" t="s">
        <v>566</v>
      </c>
      <c r="B236" s="9" t="s">
        <v>429</v>
      </c>
      <c r="C236" s="9" t="s">
        <v>597</v>
      </c>
      <c r="D236" s="9">
        <v>17</v>
      </c>
      <c r="E236" s="9" t="s">
        <v>730</v>
      </c>
      <c r="F236" s="9" t="s">
        <v>355</v>
      </c>
      <c r="G236" s="10">
        <v>0.79027777777777775</v>
      </c>
      <c r="H236" s="9" t="s">
        <v>785</v>
      </c>
      <c r="I236" s="9">
        <v>7.42</v>
      </c>
      <c r="J236" s="9" t="s">
        <v>40</v>
      </c>
      <c r="K236" s="9">
        <v>277</v>
      </c>
      <c r="L236" s="9">
        <v>126</v>
      </c>
      <c r="M236" s="9" t="s">
        <v>22</v>
      </c>
      <c r="N236" s="9">
        <v>17</v>
      </c>
      <c r="O236" s="9" t="s">
        <v>23</v>
      </c>
      <c r="P236" s="9" t="s">
        <v>24</v>
      </c>
      <c r="Q236" s="9" t="str">
        <f t="shared" si="42"/>
        <v>Distance</v>
      </c>
      <c r="R236" s="9">
        <f t="shared" si="43"/>
        <v>69.000000000000227</v>
      </c>
      <c r="S236" s="9">
        <f t="shared" si="44"/>
        <v>0.99999999999999645</v>
      </c>
      <c r="T236" s="9">
        <f t="shared" si="45"/>
        <v>0.99999999999999645</v>
      </c>
      <c r="U236" s="9">
        <f t="shared" si="55"/>
        <v>50.000000000000142</v>
      </c>
      <c r="V236" s="9">
        <f t="shared" si="46"/>
        <v>18</v>
      </c>
      <c r="W236" s="9" t="str">
        <f t="shared" si="47"/>
        <v>Peak Night</v>
      </c>
      <c r="X236" s="9" t="str">
        <f t="shared" si="48"/>
        <v>Peak</v>
      </c>
      <c r="Y236" s="23">
        <f t="shared" si="49"/>
        <v>0.14839999999999959</v>
      </c>
      <c r="Z236" s="23">
        <f t="shared" si="50"/>
        <v>16.981132075471699</v>
      </c>
      <c r="AA236" s="23">
        <f t="shared" si="51"/>
        <v>0.45487364620938631</v>
      </c>
      <c r="AB236" s="9" t="str">
        <f t="shared" si="52"/>
        <v>Late</v>
      </c>
      <c r="AC236" s="9" t="str">
        <f t="shared" si="53"/>
        <v>No Delay</v>
      </c>
      <c r="AD236" s="64" t="str">
        <f t="shared" si="54"/>
        <v>Long (5+km)</v>
      </c>
    </row>
    <row r="237" spans="1:30" x14ac:dyDescent="0.3">
      <c r="A237" s="8" t="s">
        <v>567</v>
      </c>
      <c r="B237" s="9" t="s">
        <v>767</v>
      </c>
      <c r="C237" s="9" t="s">
        <v>597</v>
      </c>
      <c r="D237" s="9">
        <v>18</v>
      </c>
      <c r="E237" s="9" t="s">
        <v>758</v>
      </c>
      <c r="F237" s="9" t="s">
        <v>795</v>
      </c>
      <c r="G237" s="10">
        <v>0.44166666666666671</v>
      </c>
      <c r="H237" s="9" t="s">
        <v>251</v>
      </c>
      <c r="I237" s="9">
        <v>4.1500000000000004</v>
      </c>
      <c r="J237" s="9" t="s">
        <v>177</v>
      </c>
      <c r="K237" s="9">
        <v>244</v>
      </c>
      <c r="L237" s="9">
        <v>96</v>
      </c>
      <c r="M237" s="9" t="s">
        <v>77</v>
      </c>
      <c r="N237" s="9">
        <v>18</v>
      </c>
      <c r="O237" s="9" t="s">
        <v>23</v>
      </c>
      <c r="P237" s="9" t="s">
        <v>78</v>
      </c>
      <c r="Q237" s="9" t="str">
        <f t="shared" si="42"/>
        <v>Restaurant Delay</v>
      </c>
      <c r="R237" s="9">
        <f t="shared" si="43"/>
        <v>56.999999999999957</v>
      </c>
      <c r="S237" s="9">
        <f t="shared" si="44"/>
        <v>1.9999999999999929</v>
      </c>
      <c r="T237" s="9">
        <f t="shared" si="45"/>
        <v>2.9999999999999893</v>
      </c>
      <c r="U237" s="9">
        <f t="shared" si="55"/>
        <v>33.999999999999879</v>
      </c>
      <c r="V237" s="9">
        <f t="shared" si="46"/>
        <v>10</v>
      </c>
      <c r="W237" s="9" t="str">
        <f t="shared" si="47"/>
        <v>Late Morning</v>
      </c>
      <c r="X237" s="9" t="str">
        <f t="shared" si="48"/>
        <v>Off-Peak</v>
      </c>
      <c r="Y237" s="23">
        <f t="shared" si="49"/>
        <v>0.12205882352941221</v>
      </c>
      <c r="Z237" s="23">
        <f t="shared" si="50"/>
        <v>23.132530120481924</v>
      </c>
      <c r="AA237" s="23">
        <f t="shared" si="51"/>
        <v>0.39344262295081966</v>
      </c>
      <c r="AB237" s="9" t="str">
        <f t="shared" si="52"/>
        <v>Late</v>
      </c>
      <c r="AC237" s="9" t="str">
        <f t="shared" si="53"/>
        <v>Restaurant Delay</v>
      </c>
      <c r="AD237" s="64" t="str">
        <f t="shared" si="54"/>
        <v>Medium (2-5km)</v>
      </c>
    </row>
    <row r="238" spans="1:30" x14ac:dyDescent="0.3">
      <c r="A238" s="8" t="s">
        <v>570</v>
      </c>
      <c r="B238" s="9" t="s">
        <v>248</v>
      </c>
      <c r="C238" s="9" t="s">
        <v>597</v>
      </c>
      <c r="D238" s="9">
        <v>20</v>
      </c>
      <c r="E238" s="9" t="s">
        <v>571</v>
      </c>
      <c r="F238" s="9" t="s">
        <v>571</v>
      </c>
      <c r="G238" s="10">
        <v>0.74375000000000002</v>
      </c>
      <c r="H238" s="9" t="s">
        <v>596</v>
      </c>
      <c r="I238" s="9">
        <v>3.13</v>
      </c>
      <c r="J238" s="9" t="s">
        <v>177</v>
      </c>
      <c r="K238" s="9">
        <v>373</v>
      </c>
      <c r="L238" s="9">
        <v>85</v>
      </c>
      <c r="M238" s="9" t="s">
        <v>22</v>
      </c>
      <c r="N238" s="9">
        <v>17</v>
      </c>
      <c r="O238" s="9" t="s">
        <v>23</v>
      </c>
      <c r="P238" s="9" t="s">
        <v>24</v>
      </c>
      <c r="Q238" s="9" t="str">
        <f t="shared" si="42"/>
        <v>None</v>
      </c>
      <c r="R238" s="9">
        <f t="shared" si="43"/>
        <v>50.999999999999979</v>
      </c>
      <c r="S238" s="9">
        <f t="shared" si="44"/>
        <v>0</v>
      </c>
      <c r="T238" s="9">
        <f t="shared" si="45"/>
        <v>2.9999999999999893</v>
      </c>
      <c r="U238" s="9">
        <f t="shared" si="55"/>
        <v>27.999999999999901</v>
      </c>
      <c r="V238" s="9">
        <f t="shared" si="46"/>
        <v>17</v>
      </c>
      <c r="W238" s="9" t="str">
        <f t="shared" si="47"/>
        <v>Evening</v>
      </c>
      <c r="X238" s="9" t="str">
        <f t="shared" si="48"/>
        <v>Peak</v>
      </c>
      <c r="Y238" s="23">
        <f t="shared" si="49"/>
        <v>0.11178571428571468</v>
      </c>
      <c r="Z238" s="23">
        <f t="shared" si="50"/>
        <v>27.156549520766774</v>
      </c>
      <c r="AA238" s="23">
        <f t="shared" si="51"/>
        <v>0.22788203753351208</v>
      </c>
      <c r="AB238" s="9" t="str">
        <f t="shared" si="52"/>
        <v>Late</v>
      </c>
      <c r="AC238" s="9" t="str">
        <f t="shared" si="53"/>
        <v>No Delay</v>
      </c>
      <c r="AD238" s="64" t="str">
        <f t="shared" si="54"/>
        <v>Medium (2-5km)</v>
      </c>
    </row>
    <row r="239" spans="1:30" x14ac:dyDescent="0.3">
      <c r="A239" s="8" t="s">
        <v>572</v>
      </c>
      <c r="B239" s="9" t="s">
        <v>661</v>
      </c>
      <c r="C239" s="9" t="s">
        <v>597</v>
      </c>
      <c r="D239" s="9">
        <v>17</v>
      </c>
      <c r="E239" s="9" t="s">
        <v>796</v>
      </c>
      <c r="F239" s="9" t="s">
        <v>671</v>
      </c>
      <c r="G239" s="10">
        <v>0.56874999999999998</v>
      </c>
      <c r="H239" s="9" t="s">
        <v>113</v>
      </c>
      <c r="I239" s="9">
        <v>7.68</v>
      </c>
      <c r="J239" s="9" t="s">
        <v>69</v>
      </c>
      <c r="K239" s="9">
        <v>194</v>
      </c>
      <c r="L239" s="9">
        <v>126</v>
      </c>
      <c r="M239" s="9" t="s">
        <v>22</v>
      </c>
      <c r="N239" s="9">
        <v>18</v>
      </c>
      <c r="O239" s="9" t="s">
        <v>23</v>
      </c>
      <c r="P239" s="9" t="s">
        <v>24</v>
      </c>
      <c r="Q239" s="9" t="str">
        <f t="shared" si="42"/>
        <v>Distance</v>
      </c>
      <c r="R239" s="9">
        <f t="shared" si="43"/>
        <v>68.999999999999915</v>
      </c>
      <c r="S239" s="9">
        <f t="shared" si="44"/>
        <v>1.9999999999999929</v>
      </c>
      <c r="T239" s="9">
        <f t="shared" si="45"/>
        <v>0.99999999999999645</v>
      </c>
      <c r="U239" s="9">
        <f t="shared" si="55"/>
        <v>48.999999999999986</v>
      </c>
      <c r="V239" s="9">
        <f t="shared" si="46"/>
        <v>13</v>
      </c>
      <c r="W239" s="9" t="str">
        <f t="shared" si="47"/>
        <v>Afternoon</v>
      </c>
      <c r="X239" s="9" t="str">
        <f t="shared" si="48"/>
        <v>Peak</v>
      </c>
      <c r="Y239" s="23">
        <f t="shared" si="49"/>
        <v>0.15673469387755107</v>
      </c>
      <c r="Z239" s="23">
        <f t="shared" si="50"/>
        <v>16.40625</v>
      </c>
      <c r="AA239" s="23">
        <f t="shared" si="51"/>
        <v>0.64948453608247425</v>
      </c>
      <c r="AB239" s="9" t="str">
        <f t="shared" si="52"/>
        <v>Late</v>
      </c>
      <c r="AC239" s="9" t="str">
        <f t="shared" si="53"/>
        <v>No Delay</v>
      </c>
      <c r="AD239" s="64" t="str">
        <f t="shared" si="54"/>
        <v>Long (5+km)</v>
      </c>
    </row>
    <row r="240" spans="1:30" x14ac:dyDescent="0.3">
      <c r="A240" s="8" t="s">
        <v>573</v>
      </c>
      <c r="B240" s="9" t="s">
        <v>365</v>
      </c>
      <c r="C240" s="9" t="s">
        <v>597</v>
      </c>
      <c r="D240" s="9">
        <v>19</v>
      </c>
      <c r="E240" s="9" t="s">
        <v>354</v>
      </c>
      <c r="F240" s="9" t="s">
        <v>218</v>
      </c>
      <c r="G240" s="10">
        <v>0.78333333333333333</v>
      </c>
      <c r="H240" s="9" t="s">
        <v>460</v>
      </c>
      <c r="I240" s="9">
        <v>1.42</v>
      </c>
      <c r="J240" s="9" t="s">
        <v>76</v>
      </c>
      <c r="K240" s="9">
        <v>252</v>
      </c>
      <c r="L240" s="9">
        <v>68</v>
      </c>
      <c r="M240" s="9" t="s">
        <v>22</v>
      </c>
      <c r="N240" s="9">
        <v>13</v>
      </c>
      <c r="O240" s="9" t="s">
        <v>23</v>
      </c>
      <c r="P240" s="9" t="s">
        <v>24</v>
      </c>
      <c r="Q240" s="9" t="str">
        <f t="shared" si="42"/>
        <v>None</v>
      </c>
      <c r="R240" s="9">
        <f t="shared" si="43"/>
        <v>42.999999999999844</v>
      </c>
      <c r="S240" s="9">
        <f t="shared" si="44"/>
        <v>0.99999999999999645</v>
      </c>
      <c r="T240" s="9">
        <f t="shared" si="45"/>
        <v>5.9999999999999787</v>
      </c>
      <c r="U240" s="9">
        <f t="shared" si="55"/>
        <v>16.99999999999994</v>
      </c>
      <c r="V240" s="9">
        <f t="shared" si="46"/>
        <v>18</v>
      </c>
      <c r="W240" s="9" t="str">
        <f t="shared" si="47"/>
        <v>Peak Night</v>
      </c>
      <c r="X240" s="9" t="str">
        <f t="shared" si="48"/>
        <v>Peak</v>
      </c>
      <c r="Y240" s="23">
        <f t="shared" si="49"/>
        <v>8.3529411764706171E-2</v>
      </c>
      <c r="Z240" s="23">
        <f t="shared" si="50"/>
        <v>47.887323943661976</v>
      </c>
      <c r="AA240" s="23">
        <f t="shared" si="51"/>
        <v>0.26984126984126983</v>
      </c>
      <c r="AB240" s="9" t="str">
        <f t="shared" si="52"/>
        <v>On-Time</v>
      </c>
      <c r="AC240" s="9" t="str">
        <f t="shared" si="53"/>
        <v>No Delay</v>
      </c>
      <c r="AD240" s="64" t="str">
        <f t="shared" si="54"/>
        <v>Short (0-2km)</v>
      </c>
    </row>
    <row r="241" spans="1:30" x14ac:dyDescent="0.3">
      <c r="A241" s="8" t="s">
        <v>574</v>
      </c>
      <c r="B241" s="9" t="s">
        <v>19</v>
      </c>
      <c r="C241" s="9" t="s">
        <v>597</v>
      </c>
      <c r="D241" s="9">
        <v>12</v>
      </c>
      <c r="E241" s="9" t="s">
        <v>739</v>
      </c>
      <c r="F241" s="9" t="s">
        <v>770</v>
      </c>
      <c r="G241" s="10">
        <v>0.5180555555555556</v>
      </c>
      <c r="H241" s="9" t="s">
        <v>771</v>
      </c>
      <c r="I241" s="9">
        <v>1.92</v>
      </c>
      <c r="J241" s="9" t="s">
        <v>126</v>
      </c>
      <c r="K241" s="9">
        <v>330</v>
      </c>
      <c r="L241" s="9">
        <v>71</v>
      </c>
      <c r="M241" s="9" t="s">
        <v>22</v>
      </c>
      <c r="N241" s="9">
        <v>13</v>
      </c>
      <c r="O241" s="9" t="s">
        <v>23</v>
      </c>
      <c r="P241" s="9" t="s">
        <v>24</v>
      </c>
      <c r="Q241" s="9" t="str">
        <f t="shared" si="42"/>
        <v>None</v>
      </c>
      <c r="R241" s="9">
        <f t="shared" si="43"/>
        <v>37.000000000000028</v>
      </c>
      <c r="S241" s="9">
        <f t="shared" si="44"/>
        <v>1.9999999999999929</v>
      </c>
      <c r="T241" s="9">
        <f t="shared" si="45"/>
        <v>5.9999999999999787</v>
      </c>
      <c r="U241" s="9">
        <f t="shared" si="55"/>
        <v>16.99999999999994</v>
      </c>
      <c r="V241" s="9">
        <f t="shared" si="46"/>
        <v>12</v>
      </c>
      <c r="W241" s="9" t="str">
        <f t="shared" si="47"/>
        <v>Afternoon</v>
      </c>
      <c r="X241" s="9" t="str">
        <f t="shared" si="48"/>
        <v>Peak</v>
      </c>
      <c r="Y241" s="23">
        <f t="shared" si="49"/>
        <v>0.11294117647058863</v>
      </c>
      <c r="Z241" s="23">
        <f t="shared" si="50"/>
        <v>36.979166666666671</v>
      </c>
      <c r="AA241" s="23">
        <f t="shared" si="51"/>
        <v>0.21515151515151515</v>
      </c>
      <c r="AB241" s="9" t="str">
        <f t="shared" si="52"/>
        <v>On-Time</v>
      </c>
      <c r="AC241" s="9" t="str">
        <f t="shared" si="53"/>
        <v>No Delay</v>
      </c>
      <c r="AD241" s="64" t="str">
        <f t="shared" si="54"/>
        <v>Short (0-2km)</v>
      </c>
    </row>
    <row r="242" spans="1:30" x14ac:dyDescent="0.3">
      <c r="A242" s="8" t="s">
        <v>577</v>
      </c>
      <c r="B242" s="9" t="s">
        <v>742</v>
      </c>
      <c r="C242" s="9" t="s">
        <v>597</v>
      </c>
      <c r="D242" s="9">
        <v>18</v>
      </c>
      <c r="E242" s="9" t="s">
        <v>715</v>
      </c>
      <c r="F242" s="9" t="s">
        <v>596</v>
      </c>
      <c r="G242" s="10">
        <v>0.76527777777777772</v>
      </c>
      <c r="H242" s="9" t="s">
        <v>152</v>
      </c>
      <c r="I242" s="9">
        <v>4.6399999999999997</v>
      </c>
      <c r="J242" s="9" t="s">
        <v>45</v>
      </c>
      <c r="K242" s="9">
        <v>351</v>
      </c>
      <c r="L242" s="9">
        <v>97</v>
      </c>
      <c r="M242" s="9" t="s">
        <v>22</v>
      </c>
      <c r="N242" s="9">
        <v>14</v>
      </c>
      <c r="O242" s="9" t="s">
        <v>23</v>
      </c>
      <c r="P242" s="9" t="s">
        <v>24</v>
      </c>
      <c r="Q242" s="9" t="str">
        <f t="shared" si="42"/>
        <v>None</v>
      </c>
      <c r="R242" s="9">
        <f t="shared" si="43"/>
        <v>56.000000000000121</v>
      </c>
      <c r="S242" s="9">
        <f t="shared" si="44"/>
        <v>1.999999999999833</v>
      </c>
      <c r="T242" s="9">
        <f t="shared" si="45"/>
        <v>2.9999999999999893</v>
      </c>
      <c r="U242" s="9">
        <f t="shared" si="55"/>
        <v>33.000000000000199</v>
      </c>
      <c r="V242" s="9">
        <f t="shared" si="46"/>
        <v>17</v>
      </c>
      <c r="W242" s="9" t="str">
        <f t="shared" si="47"/>
        <v>Evening</v>
      </c>
      <c r="X242" s="9" t="str">
        <f t="shared" si="48"/>
        <v>Peak</v>
      </c>
      <c r="Y242" s="23">
        <f t="shared" si="49"/>
        <v>0.14060606060605974</v>
      </c>
      <c r="Z242" s="23">
        <f t="shared" si="50"/>
        <v>20.905172413793103</v>
      </c>
      <c r="AA242" s="23">
        <f t="shared" si="51"/>
        <v>0.27635327635327633</v>
      </c>
      <c r="AB242" s="9" t="str">
        <f t="shared" si="52"/>
        <v>Late</v>
      </c>
      <c r="AC242" s="9" t="str">
        <f t="shared" si="53"/>
        <v>No Delay</v>
      </c>
      <c r="AD242" s="64" t="str">
        <f t="shared" si="54"/>
        <v>Medium (2-5km)</v>
      </c>
    </row>
    <row r="243" spans="1:30" x14ac:dyDescent="0.3">
      <c r="A243" s="8" t="s">
        <v>578</v>
      </c>
      <c r="B243" s="9" t="s">
        <v>548</v>
      </c>
      <c r="C243" s="9" t="s">
        <v>597</v>
      </c>
      <c r="D243" s="9">
        <v>20</v>
      </c>
      <c r="E243" s="9" t="s">
        <v>783</v>
      </c>
      <c r="F243" s="9" t="s">
        <v>327</v>
      </c>
      <c r="G243" s="10">
        <v>0.63472222222222219</v>
      </c>
      <c r="H243" s="9" t="s">
        <v>788</v>
      </c>
      <c r="I243" s="9">
        <v>1.83</v>
      </c>
      <c r="J243" s="9" t="s">
        <v>33</v>
      </c>
      <c r="K243" s="9">
        <v>281</v>
      </c>
      <c r="L243" s="9">
        <v>65</v>
      </c>
      <c r="M243" s="9" t="s">
        <v>22</v>
      </c>
      <c r="N243" s="9">
        <v>15</v>
      </c>
      <c r="O243" s="9" t="s">
        <v>55</v>
      </c>
      <c r="P243" s="9" t="s">
        <v>24</v>
      </c>
      <c r="Q243" s="9" t="str">
        <f t="shared" si="42"/>
        <v>None</v>
      </c>
      <c r="R243" s="9">
        <f t="shared" si="43"/>
        <v>41.000000000000014</v>
      </c>
      <c r="S243" s="9">
        <f t="shared" si="44"/>
        <v>2.9999999999999893</v>
      </c>
      <c r="T243" s="9">
        <f t="shared" si="45"/>
        <v>1.9999999999999929</v>
      </c>
      <c r="U243" s="9">
        <f t="shared" si="55"/>
        <v>16.000000000000103</v>
      </c>
      <c r="V243" s="9">
        <f t="shared" si="46"/>
        <v>14</v>
      </c>
      <c r="W243" s="9" t="str">
        <f t="shared" si="47"/>
        <v>Afternoon</v>
      </c>
      <c r="X243" s="9" t="str">
        <f t="shared" si="48"/>
        <v>Off-Peak</v>
      </c>
      <c r="Y243" s="23">
        <f t="shared" si="49"/>
        <v>0.11437499999999927</v>
      </c>
      <c r="Z243" s="23">
        <f t="shared" si="50"/>
        <v>35.519125683060111</v>
      </c>
      <c r="AA243" s="23">
        <f t="shared" si="51"/>
        <v>0.23131672597864769</v>
      </c>
      <c r="AB243" s="9" t="str">
        <f t="shared" si="52"/>
        <v>On-Time</v>
      </c>
      <c r="AC243" s="9" t="str">
        <f t="shared" si="53"/>
        <v>No Delay</v>
      </c>
      <c r="AD243" s="64" t="str">
        <f t="shared" si="54"/>
        <v>Short (0-2km)</v>
      </c>
    </row>
    <row r="244" spans="1:30" x14ac:dyDescent="0.3">
      <c r="A244" s="8" t="s">
        <v>579</v>
      </c>
      <c r="B244" s="9" t="s">
        <v>313</v>
      </c>
      <c r="C244" s="9" t="s">
        <v>597</v>
      </c>
      <c r="D244" s="9">
        <v>18</v>
      </c>
      <c r="E244" s="9" t="s">
        <v>571</v>
      </c>
      <c r="F244" s="9" t="s">
        <v>571</v>
      </c>
      <c r="G244" s="10">
        <v>0.74444444444444446</v>
      </c>
      <c r="H244" s="9" t="s">
        <v>729</v>
      </c>
      <c r="I244" s="9">
        <v>6.85</v>
      </c>
      <c r="J244" s="9" t="s">
        <v>49</v>
      </c>
      <c r="K244" s="9">
        <v>177</v>
      </c>
      <c r="L244" s="9">
        <v>120</v>
      </c>
      <c r="M244" s="9" t="s">
        <v>22</v>
      </c>
      <c r="N244" s="9">
        <v>15</v>
      </c>
      <c r="O244" s="9" t="s">
        <v>23</v>
      </c>
      <c r="P244" s="9" t="s">
        <v>24</v>
      </c>
      <c r="Q244" s="9" t="str">
        <f t="shared" si="42"/>
        <v>Distance</v>
      </c>
      <c r="R244" s="9">
        <f t="shared" si="43"/>
        <v>66.000000000000085</v>
      </c>
      <c r="S244" s="9">
        <f t="shared" si="44"/>
        <v>0</v>
      </c>
      <c r="T244" s="9">
        <f t="shared" si="45"/>
        <v>3.9999999999999858</v>
      </c>
      <c r="U244" s="9">
        <f t="shared" si="55"/>
        <v>44</v>
      </c>
      <c r="V244" s="9">
        <f t="shared" si="46"/>
        <v>17</v>
      </c>
      <c r="W244" s="9" t="str">
        <f t="shared" si="47"/>
        <v>Evening</v>
      </c>
      <c r="X244" s="9" t="str">
        <f t="shared" si="48"/>
        <v>Peak</v>
      </c>
      <c r="Y244" s="23">
        <f t="shared" si="49"/>
        <v>0.15568181818181817</v>
      </c>
      <c r="Z244" s="23">
        <f t="shared" si="50"/>
        <v>17.518248175182482</v>
      </c>
      <c r="AA244" s="23">
        <f t="shared" si="51"/>
        <v>0.67796610169491522</v>
      </c>
      <c r="AB244" s="9" t="str">
        <f t="shared" si="52"/>
        <v>Late</v>
      </c>
      <c r="AC244" s="9" t="str">
        <f t="shared" si="53"/>
        <v>No Delay</v>
      </c>
      <c r="AD244" s="64" t="str">
        <f t="shared" si="54"/>
        <v>Long (5+km)</v>
      </c>
    </row>
    <row r="245" spans="1:30" x14ac:dyDescent="0.3">
      <c r="A245" s="8" t="s">
        <v>580</v>
      </c>
      <c r="B245" s="9" t="s">
        <v>147</v>
      </c>
      <c r="C245" s="9" t="s">
        <v>597</v>
      </c>
      <c r="D245" s="9">
        <v>17</v>
      </c>
      <c r="E245" s="9" t="s">
        <v>239</v>
      </c>
      <c r="F245" s="9" t="s">
        <v>239</v>
      </c>
      <c r="G245" s="10">
        <v>0.81944444444444431</v>
      </c>
      <c r="H245" s="9" t="s">
        <v>334</v>
      </c>
      <c r="I245" s="9">
        <v>4.33</v>
      </c>
      <c r="J245" s="9" t="s">
        <v>69</v>
      </c>
      <c r="K245" s="9">
        <v>392</v>
      </c>
      <c r="L245" s="9">
        <v>100</v>
      </c>
      <c r="M245" s="9" t="s">
        <v>22</v>
      </c>
      <c r="N245" s="9">
        <v>11</v>
      </c>
      <c r="O245" s="9" t="s">
        <v>34</v>
      </c>
      <c r="P245" s="9" t="s">
        <v>24</v>
      </c>
      <c r="Q245" s="9" t="str">
        <f t="shared" si="42"/>
        <v>Traffic</v>
      </c>
      <c r="R245" s="9">
        <f t="shared" si="43"/>
        <v>56.999999999999957</v>
      </c>
      <c r="S245" s="9">
        <f t="shared" si="44"/>
        <v>0</v>
      </c>
      <c r="T245" s="9">
        <f t="shared" si="45"/>
        <v>11.999999999999957</v>
      </c>
      <c r="U245" s="9">
        <f t="shared" si="55"/>
        <v>28.00000000000022</v>
      </c>
      <c r="V245" s="9">
        <f t="shared" si="46"/>
        <v>19</v>
      </c>
      <c r="W245" s="9" t="str">
        <f t="shared" si="47"/>
        <v>Peak Night</v>
      </c>
      <c r="X245" s="9" t="str">
        <f t="shared" si="48"/>
        <v>Peak</v>
      </c>
      <c r="Y245" s="23">
        <f t="shared" si="49"/>
        <v>0.15464285714285592</v>
      </c>
      <c r="Z245" s="23">
        <f t="shared" si="50"/>
        <v>23.094688221709006</v>
      </c>
      <c r="AA245" s="23">
        <f t="shared" si="51"/>
        <v>0.25510204081632654</v>
      </c>
      <c r="AB245" s="9" t="str">
        <f t="shared" si="52"/>
        <v>Late</v>
      </c>
      <c r="AC245" s="9" t="str">
        <f t="shared" si="53"/>
        <v>No Delay</v>
      </c>
      <c r="AD245" s="64" t="str">
        <f t="shared" si="54"/>
        <v>Medium (2-5km)</v>
      </c>
    </row>
    <row r="246" spans="1:30" x14ac:dyDescent="0.3">
      <c r="A246" s="8" t="s">
        <v>582</v>
      </c>
      <c r="B246" s="9" t="s">
        <v>499</v>
      </c>
      <c r="C246" s="9" t="s">
        <v>597</v>
      </c>
      <c r="D246" s="9">
        <v>14</v>
      </c>
      <c r="E246" s="9" t="s">
        <v>501</v>
      </c>
      <c r="F246" s="9" t="s">
        <v>797</v>
      </c>
      <c r="G246" s="10">
        <v>0.75</v>
      </c>
      <c r="H246" s="9" t="s">
        <v>320</v>
      </c>
      <c r="I246" s="9">
        <v>6.89</v>
      </c>
      <c r="J246" s="9" t="s">
        <v>28</v>
      </c>
      <c r="K246" s="9">
        <v>348</v>
      </c>
      <c r="L246" s="9">
        <v>119</v>
      </c>
      <c r="M246" s="9" t="s">
        <v>22</v>
      </c>
      <c r="N246" s="9">
        <v>14</v>
      </c>
      <c r="O246" s="9" t="s">
        <v>23</v>
      </c>
      <c r="P246" s="9" t="s">
        <v>24</v>
      </c>
      <c r="Q246" s="9" t="str">
        <f t="shared" si="42"/>
        <v>Distance</v>
      </c>
      <c r="R246" s="9">
        <f t="shared" si="43"/>
        <v>62.999999999999773</v>
      </c>
      <c r="S246" s="9">
        <f t="shared" si="44"/>
        <v>2.0000000000001528</v>
      </c>
      <c r="T246" s="9">
        <f t="shared" si="45"/>
        <v>3.9999999999999858</v>
      </c>
      <c r="U246" s="9">
        <f t="shared" si="55"/>
        <v>42.999999999999844</v>
      </c>
      <c r="V246" s="9">
        <f t="shared" si="46"/>
        <v>17</v>
      </c>
      <c r="W246" s="9" t="str">
        <f t="shared" si="47"/>
        <v>Evening</v>
      </c>
      <c r="X246" s="9" t="str">
        <f t="shared" si="48"/>
        <v>Peak</v>
      </c>
      <c r="Y246" s="23">
        <f t="shared" si="49"/>
        <v>0.16023255813953546</v>
      </c>
      <c r="Z246" s="23">
        <f t="shared" si="50"/>
        <v>17.271407837445572</v>
      </c>
      <c r="AA246" s="23">
        <f t="shared" si="51"/>
        <v>0.34195402298850575</v>
      </c>
      <c r="AB246" s="9" t="str">
        <f t="shared" si="52"/>
        <v>Late</v>
      </c>
      <c r="AC246" s="9" t="str">
        <f t="shared" si="53"/>
        <v>No Delay</v>
      </c>
      <c r="AD246" s="64" t="str">
        <f t="shared" si="54"/>
        <v>Long (5+km)</v>
      </c>
    </row>
    <row r="247" spans="1:30" x14ac:dyDescent="0.3">
      <c r="A247" s="8" t="s">
        <v>585</v>
      </c>
      <c r="B247" s="9" t="s">
        <v>139</v>
      </c>
      <c r="C247" s="9" t="s">
        <v>594</v>
      </c>
      <c r="D247" s="9">
        <v>27</v>
      </c>
      <c r="E247" s="9" t="s">
        <v>149</v>
      </c>
      <c r="F247" s="9" t="s">
        <v>308</v>
      </c>
      <c r="G247" s="10">
        <v>0.84375</v>
      </c>
      <c r="H247" s="9" t="s">
        <v>798</v>
      </c>
      <c r="I247" s="9">
        <v>4.12</v>
      </c>
      <c r="J247" s="9" t="s">
        <v>49</v>
      </c>
      <c r="K247" s="9">
        <v>377</v>
      </c>
      <c r="L247" s="9">
        <v>99</v>
      </c>
      <c r="M247" s="9" t="s">
        <v>22</v>
      </c>
      <c r="N247" s="9">
        <v>12</v>
      </c>
      <c r="O247" s="9" t="s">
        <v>34</v>
      </c>
      <c r="P247" s="9" t="s">
        <v>24</v>
      </c>
      <c r="Q247" s="9" t="str">
        <f t="shared" si="42"/>
        <v>Traffic</v>
      </c>
      <c r="R247" s="9">
        <f t="shared" si="43"/>
        <v>73.999999999999901</v>
      </c>
      <c r="S247" s="9">
        <f t="shared" si="44"/>
        <v>6.9999999999999751</v>
      </c>
      <c r="T247" s="9">
        <f t="shared" si="45"/>
        <v>11.999999999999957</v>
      </c>
      <c r="U247" s="9">
        <f t="shared" si="55"/>
        <v>27.999999999999901</v>
      </c>
      <c r="V247" s="9">
        <f t="shared" si="46"/>
        <v>19</v>
      </c>
      <c r="W247" s="9" t="str">
        <f t="shared" si="47"/>
        <v>Peak Night</v>
      </c>
      <c r="X247" s="9" t="str">
        <f t="shared" si="48"/>
        <v>Peak</v>
      </c>
      <c r="Y247" s="23">
        <f t="shared" si="49"/>
        <v>0.14714285714285766</v>
      </c>
      <c r="Z247" s="23">
        <f t="shared" si="50"/>
        <v>24.029126213592232</v>
      </c>
      <c r="AA247" s="23">
        <f t="shared" si="51"/>
        <v>0.2625994694960212</v>
      </c>
      <c r="AB247" s="9" t="str">
        <f t="shared" si="52"/>
        <v>Late</v>
      </c>
      <c r="AC247" s="9" t="str">
        <f t="shared" si="53"/>
        <v>No Delay</v>
      </c>
      <c r="AD247" s="64" t="str">
        <f t="shared" si="54"/>
        <v>Medium (2-5km)</v>
      </c>
    </row>
    <row r="248" spans="1:30" x14ac:dyDescent="0.3">
      <c r="A248" s="8" t="s">
        <v>586</v>
      </c>
      <c r="B248" s="9" t="s">
        <v>413</v>
      </c>
      <c r="C248" s="9" t="s">
        <v>594</v>
      </c>
      <c r="D248" s="9">
        <v>39</v>
      </c>
      <c r="E248" s="9" t="s">
        <v>163</v>
      </c>
      <c r="F248" s="9" t="s">
        <v>703</v>
      </c>
      <c r="G248" s="10">
        <v>0.7284722222222223</v>
      </c>
      <c r="H248" s="9" t="s">
        <v>797</v>
      </c>
      <c r="I248" s="9">
        <v>4.26</v>
      </c>
      <c r="J248" s="9" t="s">
        <v>21</v>
      </c>
      <c r="K248" s="9">
        <v>252</v>
      </c>
      <c r="L248" s="9">
        <v>90</v>
      </c>
      <c r="M248" s="9" t="s">
        <v>22</v>
      </c>
      <c r="N248" s="9">
        <v>17</v>
      </c>
      <c r="O248" s="9" t="s">
        <v>55</v>
      </c>
      <c r="P248" s="9" t="s">
        <v>24</v>
      </c>
      <c r="Q248" s="9" t="str">
        <f t="shared" si="42"/>
        <v>Restaurant Delay</v>
      </c>
      <c r="R248" s="9">
        <f t="shared" si="43"/>
        <v>79.000000000000043</v>
      </c>
      <c r="S248" s="9">
        <f t="shared" si="44"/>
        <v>9.0000000000001279</v>
      </c>
      <c r="T248" s="9">
        <f t="shared" si="45"/>
        <v>3.9999999999999858</v>
      </c>
      <c r="U248" s="9">
        <f t="shared" si="55"/>
        <v>26.999999999999904</v>
      </c>
      <c r="V248" s="9">
        <f t="shared" si="46"/>
        <v>16</v>
      </c>
      <c r="W248" s="9" t="str">
        <f t="shared" si="47"/>
        <v>Evening</v>
      </c>
      <c r="X248" s="9" t="str">
        <f t="shared" si="48"/>
        <v>Off-Peak</v>
      </c>
      <c r="Y248" s="23">
        <f t="shared" si="49"/>
        <v>0.15777777777777832</v>
      </c>
      <c r="Z248" s="23">
        <f t="shared" si="50"/>
        <v>21.126760563380284</v>
      </c>
      <c r="AA248" s="23">
        <f t="shared" si="51"/>
        <v>0.35714285714285715</v>
      </c>
      <c r="AB248" s="9" t="str">
        <f t="shared" si="52"/>
        <v>Late</v>
      </c>
      <c r="AC248" s="9" t="str">
        <f t="shared" si="53"/>
        <v>No Delay</v>
      </c>
      <c r="AD248" s="64" t="str">
        <f t="shared" si="54"/>
        <v>Medium (2-5km)</v>
      </c>
    </row>
    <row r="249" spans="1:30" x14ac:dyDescent="0.3">
      <c r="A249" s="8" t="s">
        <v>588</v>
      </c>
      <c r="B249" s="9" t="s">
        <v>204</v>
      </c>
      <c r="C249" s="9" t="s">
        <v>597</v>
      </c>
      <c r="D249" s="9">
        <v>19</v>
      </c>
      <c r="E249" s="9" t="s">
        <v>463</v>
      </c>
      <c r="F249" s="9" t="s">
        <v>464</v>
      </c>
      <c r="G249" s="10">
        <v>0.73819444444444438</v>
      </c>
      <c r="H249" s="9" t="s">
        <v>217</v>
      </c>
      <c r="I249" s="9">
        <v>4.54</v>
      </c>
      <c r="J249" s="9" t="s">
        <v>65</v>
      </c>
      <c r="K249" s="9">
        <v>398</v>
      </c>
      <c r="L249" s="9">
        <v>98</v>
      </c>
      <c r="M249" s="9" t="s">
        <v>22</v>
      </c>
      <c r="N249" s="9">
        <v>17</v>
      </c>
      <c r="O249" s="9" t="s">
        <v>23</v>
      </c>
      <c r="P249" s="9" t="s">
        <v>24</v>
      </c>
      <c r="Q249" s="9" t="str">
        <f t="shared" si="42"/>
        <v>None</v>
      </c>
      <c r="R249" s="9">
        <f t="shared" si="43"/>
        <v>57.999999999999794</v>
      </c>
      <c r="S249" s="9">
        <f t="shared" si="44"/>
        <v>1.999999999999833</v>
      </c>
      <c r="T249" s="9">
        <f t="shared" si="45"/>
        <v>4.9999999999999822</v>
      </c>
      <c r="U249" s="9">
        <f t="shared" si="55"/>
        <v>32.000000000000043</v>
      </c>
      <c r="V249" s="9">
        <f t="shared" si="46"/>
        <v>17</v>
      </c>
      <c r="W249" s="9" t="str">
        <f t="shared" si="47"/>
        <v>Evening</v>
      </c>
      <c r="X249" s="9" t="str">
        <f t="shared" si="48"/>
        <v>Peak</v>
      </c>
      <c r="Y249" s="23">
        <f t="shared" si="49"/>
        <v>0.14187499999999981</v>
      </c>
      <c r="Z249" s="23">
        <f t="shared" si="50"/>
        <v>21.58590308370044</v>
      </c>
      <c r="AA249" s="23">
        <f t="shared" si="51"/>
        <v>0.24623115577889448</v>
      </c>
      <c r="AB249" s="9" t="str">
        <f t="shared" si="52"/>
        <v>Late</v>
      </c>
      <c r="AC249" s="9" t="str">
        <f t="shared" si="53"/>
        <v>No Delay</v>
      </c>
      <c r="AD249" s="64" t="str">
        <f t="shared" si="54"/>
        <v>Medium (2-5km)</v>
      </c>
    </row>
    <row r="250" spans="1:30" x14ac:dyDescent="0.3">
      <c r="A250" s="8" t="s">
        <v>589</v>
      </c>
      <c r="B250" s="9" t="s">
        <v>303</v>
      </c>
      <c r="C250" s="9" t="s">
        <v>597</v>
      </c>
      <c r="D250" s="9">
        <v>13</v>
      </c>
      <c r="E250" s="9" t="s">
        <v>702</v>
      </c>
      <c r="F250" s="9" t="s">
        <v>702</v>
      </c>
      <c r="G250" s="10">
        <v>0.56527777777777777</v>
      </c>
      <c r="H250" s="9" t="s">
        <v>609</v>
      </c>
      <c r="I250" s="9">
        <v>7.14</v>
      </c>
      <c r="J250" s="9" t="s">
        <v>99</v>
      </c>
      <c r="K250" s="9">
        <v>258</v>
      </c>
      <c r="L250" s="9">
        <v>126</v>
      </c>
      <c r="M250" s="9" t="s">
        <v>22</v>
      </c>
      <c r="N250" s="9">
        <v>15</v>
      </c>
      <c r="O250" s="9" t="s">
        <v>23</v>
      </c>
      <c r="P250" s="9" t="s">
        <v>24</v>
      </c>
      <c r="Q250" s="9" t="str">
        <f t="shared" si="42"/>
        <v>Distance</v>
      </c>
      <c r="R250" s="9">
        <f t="shared" si="43"/>
        <v>64.999999999999929</v>
      </c>
      <c r="S250" s="9">
        <f t="shared" si="44"/>
        <v>0</v>
      </c>
      <c r="T250" s="9">
        <f t="shared" si="45"/>
        <v>2.9999999999999893</v>
      </c>
      <c r="U250" s="9">
        <f t="shared" si="55"/>
        <v>48.999999999999986</v>
      </c>
      <c r="V250" s="9">
        <f t="shared" si="46"/>
        <v>13</v>
      </c>
      <c r="W250" s="9" t="str">
        <f t="shared" si="47"/>
        <v>Afternoon</v>
      </c>
      <c r="X250" s="9" t="str">
        <f t="shared" si="48"/>
        <v>Peak</v>
      </c>
      <c r="Y250" s="23">
        <f t="shared" si="49"/>
        <v>0.14571428571428574</v>
      </c>
      <c r="Z250" s="23">
        <f t="shared" si="50"/>
        <v>17.647058823529413</v>
      </c>
      <c r="AA250" s="23">
        <f t="shared" si="51"/>
        <v>0.48837209302325579</v>
      </c>
      <c r="AB250" s="9" t="str">
        <f t="shared" si="52"/>
        <v>Late</v>
      </c>
      <c r="AC250" s="9" t="str">
        <f t="shared" si="53"/>
        <v>No Delay</v>
      </c>
      <c r="AD250" s="64" t="str">
        <f t="shared" si="54"/>
        <v>Long (5+km)</v>
      </c>
    </row>
    <row r="251" spans="1:30" ht="15" thickBot="1" x14ac:dyDescent="0.35">
      <c r="A251" s="12" t="s">
        <v>590</v>
      </c>
      <c r="B251" s="13" t="s">
        <v>595</v>
      </c>
      <c r="C251" s="13" t="s">
        <v>597</v>
      </c>
      <c r="D251" s="13">
        <v>15</v>
      </c>
      <c r="E251" s="13" t="s">
        <v>742</v>
      </c>
      <c r="F251" s="13" t="s">
        <v>228</v>
      </c>
      <c r="G251" s="14">
        <v>0.75347222222222232</v>
      </c>
      <c r="H251" s="13" t="s">
        <v>146</v>
      </c>
      <c r="I251" s="13">
        <v>7.56</v>
      </c>
      <c r="J251" s="13" t="s">
        <v>76</v>
      </c>
      <c r="K251" s="13">
        <v>333</v>
      </c>
      <c r="L251" s="13">
        <v>127</v>
      </c>
      <c r="M251" s="13" t="s">
        <v>77</v>
      </c>
      <c r="N251" s="13">
        <v>16</v>
      </c>
      <c r="O251" s="13" t="s">
        <v>23</v>
      </c>
      <c r="P251" s="13" t="s">
        <v>78</v>
      </c>
      <c r="Q251" s="13" t="str">
        <f t="shared" si="42"/>
        <v>Restaurant Delay</v>
      </c>
      <c r="R251" s="13">
        <f t="shared" si="43"/>
        <v>68.999999999999915</v>
      </c>
      <c r="S251" s="13">
        <f t="shared" si="44"/>
        <v>3.0000000000001492</v>
      </c>
      <c r="T251" s="13">
        <f t="shared" si="45"/>
        <v>2.9999999999999893</v>
      </c>
      <c r="U251" s="13">
        <f t="shared" si="55"/>
        <v>47.999999999999829</v>
      </c>
      <c r="V251" s="13">
        <f t="shared" si="46"/>
        <v>17</v>
      </c>
      <c r="W251" s="13" t="str">
        <f t="shared" si="47"/>
        <v>Evening</v>
      </c>
      <c r="X251" s="13" t="str">
        <f t="shared" si="48"/>
        <v>Peak</v>
      </c>
      <c r="Y251" s="24">
        <f t="shared" si="49"/>
        <v>0.15750000000000056</v>
      </c>
      <c r="Z251" s="24">
        <f t="shared" si="50"/>
        <v>16.798941798941801</v>
      </c>
      <c r="AA251" s="24">
        <f t="shared" si="51"/>
        <v>0.38138138138138139</v>
      </c>
      <c r="AB251" s="13" t="str">
        <f t="shared" si="52"/>
        <v>Late</v>
      </c>
      <c r="AC251" s="13" t="str">
        <f t="shared" si="53"/>
        <v>Restaurant Delay</v>
      </c>
      <c r="AD251" s="65" t="str">
        <f t="shared" si="54"/>
        <v>Long (5+km)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zoomScale="62" zoomScaleNormal="60" workbookViewId="0">
      <selection activeCell="J36" sqref="J36"/>
    </sheetView>
  </sheetViews>
  <sheetFormatPr defaultRowHeight="13.8" x14ac:dyDescent="0.25"/>
  <cols>
    <col min="1" max="1" width="37.21875" style="16" customWidth="1"/>
    <col min="2" max="2" width="8" style="29" bestFit="1" customWidth="1"/>
    <col min="3" max="3" width="6.109375" style="30" customWidth="1"/>
    <col min="4" max="16384" width="8.88671875" style="16"/>
  </cols>
  <sheetData>
    <row r="1" spans="1:9" x14ac:dyDescent="0.25">
      <c r="A1" s="21" t="s">
        <v>811</v>
      </c>
      <c r="B1" s="21"/>
    </row>
    <row r="2" spans="1:9" x14ac:dyDescent="0.25">
      <c r="A2" s="21"/>
      <c r="B2" s="21"/>
    </row>
    <row r="3" spans="1:9" ht="14.4" x14ac:dyDescent="0.3">
      <c r="A3" s="20" t="s">
        <v>812</v>
      </c>
      <c r="B3" s="25">
        <f>COUNTA(Processed_Data!A2:A251)</f>
        <v>250</v>
      </c>
      <c r="C3" s="30" t="s">
        <v>848</v>
      </c>
      <c r="I3"/>
    </row>
    <row r="4" spans="1:9" x14ac:dyDescent="0.25">
      <c r="A4" s="20" t="s">
        <v>813</v>
      </c>
      <c r="B4" s="25">
        <f>COUNTIF(Processed_Data!M2:M251,"Delivered")</f>
        <v>233</v>
      </c>
      <c r="C4" s="30" t="s">
        <v>848</v>
      </c>
    </row>
    <row r="5" spans="1:9" x14ac:dyDescent="0.25">
      <c r="A5" s="20" t="s">
        <v>814</v>
      </c>
      <c r="B5" s="25">
        <f>COUNTIF(Processed_Data!M2:M251,"Failed")</f>
        <v>17</v>
      </c>
      <c r="C5" s="30" t="s">
        <v>848</v>
      </c>
    </row>
    <row r="6" spans="1:9" x14ac:dyDescent="0.25">
      <c r="A6" s="20" t="s">
        <v>815</v>
      </c>
      <c r="B6" s="26">
        <f>B5/B3</f>
        <v>6.8000000000000005E-2</v>
      </c>
    </row>
    <row r="7" spans="1:9" x14ac:dyDescent="0.25">
      <c r="A7" s="20" t="s">
        <v>816</v>
      </c>
      <c r="B7" s="26">
        <f>COUNTIF(Processed_Data!AB2:AB251,"On-Time")/B3</f>
        <v>0.23599999999999999</v>
      </c>
    </row>
    <row r="8" spans="1:9" x14ac:dyDescent="0.25">
      <c r="A8" s="20" t="s">
        <v>817</v>
      </c>
      <c r="B8" s="26">
        <f>COUNTIF(Processed_Data!AB2:AB251,"Late")/B3</f>
        <v>0.76400000000000001</v>
      </c>
    </row>
    <row r="9" spans="1:9" x14ac:dyDescent="0.25">
      <c r="A9" s="18"/>
      <c r="B9" s="27"/>
    </row>
    <row r="10" spans="1:9" x14ac:dyDescent="0.25">
      <c r="A10" s="21" t="s">
        <v>818</v>
      </c>
      <c r="B10" s="21"/>
    </row>
    <row r="11" spans="1:9" x14ac:dyDescent="0.25">
      <c r="A11" s="21"/>
      <c r="B11" s="21"/>
    </row>
    <row r="12" spans="1:9" x14ac:dyDescent="0.25">
      <c r="A12" s="20" t="s">
        <v>819</v>
      </c>
      <c r="B12" s="25">
        <f>AVERAGE(Processed_Data!R2:R251)</f>
        <v>56.975999999999999</v>
      </c>
      <c r="C12" s="30" t="s">
        <v>849</v>
      </c>
    </row>
    <row r="13" spans="1:9" x14ac:dyDescent="0.25">
      <c r="A13" s="20" t="s">
        <v>820</v>
      </c>
      <c r="B13" s="25">
        <f>AVERAGE(Processed_Data!D2:D251)</f>
        <v>17.920000000000002</v>
      </c>
      <c r="C13" s="30" t="s">
        <v>849</v>
      </c>
    </row>
    <row r="14" spans="1:9" x14ac:dyDescent="0.25">
      <c r="A14" s="20" t="s">
        <v>821</v>
      </c>
      <c r="B14" s="25">
        <f>AVERAGE(Processed_Data!S2:S251)</f>
        <v>2.6799999999999931</v>
      </c>
      <c r="C14" s="30" t="s">
        <v>849</v>
      </c>
    </row>
    <row r="15" spans="1:9" x14ac:dyDescent="0.25">
      <c r="A15" s="20" t="s">
        <v>822</v>
      </c>
      <c r="B15" s="25">
        <f>AVERAGE(Processed_Data!T2:T251)</f>
        <v>4.1239999999999952</v>
      </c>
      <c r="C15" s="30" t="s">
        <v>849</v>
      </c>
    </row>
    <row r="16" spans="1:9" x14ac:dyDescent="0.25">
      <c r="A16" s="20" t="s">
        <v>823</v>
      </c>
      <c r="B16" s="25">
        <f>AVERAGE(Processed_Data!U2:U251)</f>
        <v>32.252000000000002</v>
      </c>
      <c r="C16" s="30" t="s">
        <v>849</v>
      </c>
    </row>
    <row r="17" spans="1:3" x14ac:dyDescent="0.25">
      <c r="A17" s="18"/>
      <c r="B17" s="27"/>
    </row>
    <row r="18" spans="1:3" x14ac:dyDescent="0.25">
      <c r="A18" s="21" t="s">
        <v>824</v>
      </c>
      <c r="B18" s="21"/>
    </row>
    <row r="19" spans="1:3" x14ac:dyDescent="0.25">
      <c r="A19" s="21"/>
      <c r="B19" s="21"/>
    </row>
    <row r="20" spans="1:3" x14ac:dyDescent="0.25">
      <c r="A20" s="20" t="s">
        <v>825</v>
      </c>
      <c r="B20" s="25">
        <f>AVERAGEIF(Processed_Data!X2:X251,"Peak",Processed_Data!R2:R251)</f>
        <v>59.583333333333329</v>
      </c>
      <c r="C20" s="30" t="s">
        <v>849</v>
      </c>
    </row>
    <row r="21" spans="1:3" x14ac:dyDescent="0.25">
      <c r="A21" s="20" t="s">
        <v>826</v>
      </c>
      <c r="B21" s="25">
        <f>AVERAGEIF(Processed_Data!X2:X251,"Off-Peak",Processed_Data!R2:R251)</f>
        <v>54.059322033898297</v>
      </c>
      <c r="C21" s="30" t="s">
        <v>849</v>
      </c>
    </row>
    <row r="22" spans="1:3" x14ac:dyDescent="0.25">
      <c r="A22" s="20" t="s">
        <v>827</v>
      </c>
      <c r="B22" s="25">
        <f>B20-B21</f>
        <v>5.5240112994350312</v>
      </c>
      <c r="C22" s="30" t="s">
        <v>849</v>
      </c>
    </row>
    <row r="23" spans="1:3" x14ac:dyDescent="0.25">
      <c r="A23" s="20" t="s">
        <v>828</v>
      </c>
      <c r="B23" s="26">
        <f>B22/B21</f>
        <v>0.10218425040497472</v>
      </c>
    </row>
    <row r="24" spans="1:3" x14ac:dyDescent="0.25">
      <c r="A24" s="18"/>
      <c r="B24" s="27"/>
    </row>
    <row r="25" spans="1:3" x14ac:dyDescent="0.25">
      <c r="A25" s="21" t="s">
        <v>829</v>
      </c>
      <c r="B25" s="21"/>
    </row>
    <row r="26" spans="1:3" x14ac:dyDescent="0.25">
      <c r="A26" s="21"/>
      <c r="B26" s="21"/>
    </row>
    <row r="27" spans="1:3" x14ac:dyDescent="0.25">
      <c r="A27" s="20" t="s">
        <v>830</v>
      </c>
      <c r="B27" s="25">
        <f>AVERAGEIF(Processed_Data!C2:C251,"Normal",Processed_Data!R2:R251)</f>
        <v>53.563981042654028</v>
      </c>
      <c r="C27" s="30" t="s">
        <v>849</v>
      </c>
    </row>
    <row r="28" spans="1:3" x14ac:dyDescent="0.25">
      <c r="A28" s="20" t="s">
        <v>831</v>
      </c>
      <c r="B28" s="25">
        <f>AVERAGEIF(Processed_Data!C2:C251,"Bulk",Processed_Data!R2:R251)</f>
        <v>75.435897435897431</v>
      </c>
      <c r="C28" s="30" t="s">
        <v>849</v>
      </c>
    </row>
    <row r="29" spans="1:3" x14ac:dyDescent="0.25">
      <c r="A29" s="20" t="s">
        <v>832</v>
      </c>
      <c r="B29" s="26">
        <f>COUNTIFS(Processed_Data!C2:C251,"Bulk",Processed_Data!P2:P251,"Yes")/COUNTIF(Processed_Data!C2:C251,"Bulk")</f>
        <v>2.564102564102564E-2</v>
      </c>
    </row>
    <row r="30" spans="1:3" x14ac:dyDescent="0.25">
      <c r="A30" s="20" t="s">
        <v>833</v>
      </c>
      <c r="B30" s="26">
        <f>COUNTIFS(Processed_Data!C2:C251,"Normal",Processed_Data!P2:P251,"Yes")/COUNTIF(Processed_Data!C2:C251,"Normal")</f>
        <v>7.582938388625593E-2</v>
      </c>
    </row>
    <row r="31" spans="1:3" x14ac:dyDescent="0.25">
      <c r="A31" s="18"/>
      <c r="B31" s="27"/>
    </row>
    <row r="32" spans="1:3" x14ac:dyDescent="0.25">
      <c r="A32" s="21" t="s">
        <v>834</v>
      </c>
      <c r="B32" s="21"/>
    </row>
    <row r="33" spans="1:3" x14ac:dyDescent="0.25">
      <c r="A33" s="21"/>
      <c r="B33" s="21"/>
    </row>
    <row r="34" spans="1:3" x14ac:dyDescent="0.25">
      <c r="A34" s="20" t="s">
        <v>835</v>
      </c>
      <c r="B34" s="25">
        <f>AVERAGEIF(Processed_Data!O2:O251,"High",Processed_Data!U2:U251)</f>
        <v>31.527777777777814</v>
      </c>
      <c r="C34" s="30" t="s">
        <v>849</v>
      </c>
    </row>
    <row r="35" spans="1:3" x14ac:dyDescent="0.25">
      <c r="A35" s="20" t="s">
        <v>836</v>
      </c>
      <c r="B35" s="25">
        <f>AVERAGEIF(Processed_Data!O2:O251,"Medium",Processed_Data!U2:U251)</f>
        <v>34.79054054054054</v>
      </c>
      <c r="C35" s="30" t="s">
        <v>849</v>
      </c>
    </row>
    <row r="36" spans="1:3" x14ac:dyDescent="0.25">
      <c r="A36" s="20" t="s">
        <v>837</v>
      </c>
      <c r="B36" s="25">
        <f>AVERAGEIF(Processed_Data!O2:O251,"Low",Processed_Data!U2:U251)</f>
        <v>26.954545454545453</v>
      </c>
      <c r="C36" s="30" t="s">
        <v>849</v>
      </c>
    </row>
    <row r="37" spans="1:3" x14ac:dyDescent="0.25">
      <c r="A37" s="20" t="s">
        <v>838</v>
      </c>
      <c r="B37" s="25">
        <f>B34-B36</f>
        <v>4.5732323232323608</v>
      </c>
      <c r="C37" s="30" t="s">
        <v>849</v>
      </c>
    </row>
    <row r="38" spans="1:3" x14ac:dyDescent="0.25">
      <c r="A38" s="18"/>
      <c r="B38" s="27"/>
    </row>
    <row r="39" spans="1:3" x14ac:dyDescent="0.25">
      <c r="A39" s="21" t="s">
        <v>839</v>
      </c>
      <c r="B39" s="21"/>
    </row>
    <row r="40" spans="1:3" x14ac:dyDescent="0.25">
      <c r="A40" s="21"/>
      <c r="B40" s="21"/>
    </row>
    <row r="41" spans="1:3" x14ac:dyDescent="0.25">
      <c r="A41" s="20" t="s">
        <v>840</v>
      </c>
      <c r="B41" s="25">
        <f>COUNTIF(Processed_Data!AC2:AC251,"Restaurant Delay")</f>
        <v>17</v>
      </c>
      <c r="C41" s="30" t="s">
        <v>848</v>
      </c>
    </row>
    <row r="42" spans="1:3" x14ac:dyDescent="0.25">
      <c r="A42" s="20" t="s">
        <v>841</v>
      </c>
      <c r="B42" s="31">
        <f>B41/B5</f>
        <v>1</v>
      </c>
    </row>
    <row r="43" spans="1:3" x14ac:dyDescent="0.25">
      <c r="A43" s="20" t="s">
        <v>842</v>
      </c>
      <c r="B43" s="25">
        <f>COUNTIF(Processed_Data!AC2:AC251,"Distance")</f>
        <v>0</v>
      </c>
      <c r="C43" s="30" t="s">
        <v>848</v>
      </c>
    </row>
    <row r="44" spans="1:3" x14ac:dyDescent="0.25">
      <c r="A44" s="20" t="s">
        <v>843</v>
      </c>
      <c r="B44" s="25">
        <f>COUNTIF(Processed_Data!AC2:AC251,"Traffic")</f>
        <v>0</v>
      </c>
      <c r="C44" s="30" t="s">
        <v>848</v>
      </c>
    </row>
    <row r="45" spans="1:3" x14ac:dyDescent="0.25">
      <c r="A45" s="18"/>
      <c r="B45" s="27"/>
    </row>
    <row r="46" spans="1:3" x14ac:dyDescent="0.25">
      <c r="A46" s="21" t="s">
        <v>844</v>
      </c>
      <c r="B46" s="21"/>
    </row>
    <row r="47" spans="1:3" x14ac:dyDescent="0.25">
      <c r="A47" s="21"/>
      <c r="B47" s="21"/>
    </row>
    <row r="48" spans="1:3" x14ac:dyDescent="0.25">
      <c r="A48" s="20" t="s">
        <v>845</v>
      </c>
      <c r="B48" s="25">
        <f>AVERAGE(Processed_Data!N2:N251)</f>
        <v>14.976000000000001</v>
      </c>
      <c r="C48" s="30" t="s">
        <v>850</v>
      </c>
    </row>
    <row r="49" spans="1:3" x14ac:dyDescent="0.25">
      <c r="A49" s="20" t="s">
        <v>846</v>
      </c>
      <c r="B49" s="25">
        <f>AVERAGEIF(Processed_Data!X2:X251,"Peak",Processed_Data!N2:N251)</f>
        <v>13.696969696969697</v>
      </c>
      <c r="C49" s="30" t="s">
        <v>850</v>
      </c>
    </row>
    <row r="50" spans="1:3" x14ac:dyDescent="0.25">
      <c r="A50" s="20" t="s">
        <v>847</v>
      </c>
      <c r="B50" s="25">
        <f>AVERAGEIF(Processed_Data!X2:X251,"Off-Peak",Processed_Data!N2:N251)</f>
        <v>16.406779661016948</v>
      </c>
      <c r="C50" s="30" t="s">
        <v>850</v>
      </c>
    </row>
    <row r="51" spans="1:3" x14ac:dyDescent="0.25">
      <c r="A51" s="19"/>
      <c r="B51" s="28"/>
    </row>
  </sheetData>
  <mergeCells count="7">
    <mergeCell ref="A46:B47"/>
    <mergeCell ref="A1:B2"/>
    <mergeCell ref="A10:B11"/>
    <mergeCell ref="A18:B19"/>
    <mergeCell ref="A25:B26"/>
    <mergeCell ref="A32:B33"/>
    <mergeCell ref="A39:B40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opLeftCell="A66" workbookViewId="0">
      <selection activeCell="A83" sqref="A83:B86"/>
    </sheetView>
  </sheetViews>
  <sheetFormatPr defaultRowHeight="14.4" x14ac:dyDescent="0.3"/>
  <cols>
    <col min="1" max="1" width="29.21875" bestFit="1" customWidth="1"/>
    <col min="2" max="2" width="25" bestFit="1" customWidth="1"/>
    <col min="3" max="3" width="19.33203125" bestFit="1" customWidth="1"/>
    <col min="4" max="4" width="22.33203125" bestFit="1" customWidth="1"/>
    <col min="5" max="5" width="16.33203125" bestFit="1" customWidth="1"/>
    <col min="6" max="6" width="8.77734375" bestFit="1" customWidth="1"/>
    <col min="7" max="7" width="15.21875" bestFit="1" customWidth="1"/>
    <col min="8" max="8" width="13.33203125" customWidth="1"/>
    <col min="9" max="9" width="15.109375" customWidth="1"/>
  </cols>
  <sheetData>
    <row r="1" spans="1:5" x14ac:dyDescent="0.3">
      <c r="A1" s="73" t="s">
        <v>851</v>
      </c>
      <c r="B1" s="69" t="s">
        <v>854</v>
      </c>
    </row>
    <row r="2" spans="1:5" x14ac:dyDescent="0.3">
      <c r="A2" s="73" t="s">
        <v>852</v>
      </c>
      <c r="B2" s="37"/>
    </row>
    <row r="3" spans="1:5" x14ac:dyDescent="0.3">
      <c r="A3" s="74" t="s">
        <v>820</v>
      </c>
      <c r="B3" s="71">
        <f>AVERAGE(Processed_Data!D2:D251)</f>
        <v>17.920000000000002</v>
      </c>
    </row>
    <row r="4" spans="1:5" x14ac:dyDescent="0.3">
      <c r="A4" s="75" t="s">
        <v>821</v>
      </c>
      <c r="B4" s="55">
        <f>AVERAGE(Processed_Data!S2:S251)</f>
        <v>2.6799999999999931</v>
      </c>
    </row>
    <row r="5" spans="1:5" x14ac:dyDescent="0.3">
      <c r="A5" s="75" t="s">
        <v>822</v>
      </c>
      <c r="B5" s="55">
        <f>AVERAGE(Processed_Data!T2:T251)</f>
        <v>4.1239999999999952</v>
      </c>
    </row>
    <row r="6" spans="1:5" x14ac:dyDescent="0.3">
      <c r="A6" s="76" t="s">
        <v>823</v>
      </c>
      <c r="B6" s="72">
        <f>AVERAGE(Processed_Data!U2:U251)</f>
        <v>32.252000000000002</v>
      </c>
    </row>
    <row r="7" spans="1:5" x14ac:dyDescent="0.3">
      <c r="A7" s="73" t="s">
        <v>853</v>
      </c>
      <c r="B7" s="70">
        <f>SUM(B3:B6)</f>
        <v>56.975999999999992</v>
      </c>
    </row>
    <row r="10" spans="1:5" x14ac:dyDescent="0.3">
      <c r="A10" s="32" t="s">
        <v>880</v>
      </c>
      <c r="B10" s="16" t="s">
        <v>858</v>
      </c>
      <c r="C10" s="16" t="s">
        <v>859</v>
      </c>
      <c r="D10" s="37" t="s">
        <v>860</v>
      </c>
      <c r="E10" s="37" t="s">
        <v>861</v>
      </c>
    </row>
    <row r="11" spans="1:5" x14ac:dyDescent="0.3">
      <c r="A11" s="42" t="s">
        <v>855</v>
      </c>
      <c r="B11" s="43">
        <v>54.059322033898297</v>
      </c>
      <c r="C11" s="44">
        <v>118</v>
      </c>
      <c r="D11" s="45">
        <f>COUNTIFS(Processed_Data!X2:X251,"Off-Peak",Processed_Data!P2:P251,"Yes")</f>
        <v>10</v>
      </c>
      <c r="E11" s="46">
        <f>D11/C11*100</f>
        <v>8.4745762711864394</v>
      </c>
    </row>
    <row r="12" spans="1:5" x14ac:dyDescent="0.3">
      <c r="A12" s="47" t="s">
        <v>856</v>
      </c>
      <c r="B12" s="48">
        <v>59.583333333333329</v>
      </c>
      <c r="C12" s="49">
        <v>132</v>
      </c>
      <c r="D12" s="50">
        <f>COUNTIFS(Processed_Data!X2:X251,"Peak",Processed_Data!P2:P251,"Yes")</f>
        <v>7</v>
      </c>
      <c r="E12" s="51">
        <f>D12/C12*100</f>
        <v>5.3030303030303028</v>
      </c>
    </row>
    <row r="13" spans="1:5" x14ac:dyDescent="0.3">
      <c r="A13" s="33" t="s">
        <v>857</v>
      </c>
      <c r="B13" s="34">
        <v>56.975999999999999</v>
      </c>
      <c r="C13" s="36">
        <v>250</v>
      </c>
      <c r="D13" s="38">
        <f>SUM(D11:D12)</f>
        <v>17</v>
      </c>
      <c r="E13" s="39"/>
    </row>
    <row r="17" spans="1:7" x14ac:dyDescent="0.3">
      <c r="A17" s="32" t="s">
        <v>882</v>
      </c>
      <c r="B17" s="16" t="s">
        <v>820</v>
      </c>
      <c r="C17" s="16" t="s">
        <v>862</v>
      </c>
      <c r="D17" s="16" t="s">
        <v>823</v>
      </c>
      <c r="E17" s="16" t="s">
        <v>859</v>
      </c>
      <c r="F17" s="37" t="s">
        <v>860</v>
      </c>
      <c r="G17" s="37" t="s">
        <v>861</v>
      </c>
    </row>
    <row r="18" spans="1:7" x14ac:dyDescent="0.3">
      <c r="A18" s="33" t="s">
        <v>594</v>
      </c>
      <c r="B18" s="35">
        <v>32</v>
      </c>
      <c r="C18" s="34">
        <v>75.435897435897431</v>
      </c>
      <c r="D18" s="34">
        <v>31.512820512820518</v>
      </c>
      <c r="E18" s="35">
        <v>39</v>
      </c>
      <c r="F18" s="53">
        <f>COUNTIFS(Processed_Data!C2:C251,"Bulk",Processed_Data!P2:P251,"Yes")</f>
        <v>1</v>
      </c>
      <c r="G18" s="54">
        <f>F18/E18*100</f>
        <v>2.5641025641025639</v>
      </c>
    </row>
    <row r="19" spans="1:7" x14ac:dyDescent="0.3">
      <c r="A19" s="33" t="s">
        <v>597</v>
      </c>
      <c r="B19" s="34">
        <v>15.317535545023697</v>
      </c>
      <c r="C19" s="34">
        <v>53.563981042654028</v>
      </c>
      <c r="D19" s="34">
        <v>32.388625592417057</v>
      </c>
      <c r="E19" s="35">
        <v>211</v>
      </c>
      <c r="F19" s="56">
        <f>COUNTIFS(Processed_Data!C2:C251,"Normal",Processed_Data!P2:P251,"Yes")</f>
        <v>16</v>
      </c>
      <c r="G19" s="57">
        <f>F19/E19*100</f>
        <v>7.5829383886255926</v>
      </c>
    </row>
    <row r="20" spans="1:7" x14ac:dyDescent="0.3">
      <c r="A20" s="33" t="s">
        <v>857</v>
      </c>
      <c r="B20" s="34">
        <v>17.920000000000002</v>
      </c>
      <c r="C20" s="34">
        <v>56.975999999999999</v>
      </c>
      <c r="D20" s="34">
        <v>32.252000000000002</v>
      </c>
      <c r="E20" s="35">
        <v>250</v>
      </c>
      <c r="F20" s="52"/>
      <c r="G20" s="52"/>
    </row>
    <row r="24" spans="1:7" x14ac:dyDescent="0.3">
      <c r="A24" s="32" t="s">
        <v>883</v>
      </c>
      <c r="B24" s="16" t="s">
        <v>823</v>
      </c>
      <c r="C24" s="16" t="s">
        <v>862</v>
      </c>
      <c r="D24" s="16" t="s">
        <v>863</v>
      </c>
      <c r="E24" s="16" t="s">
        <v>859</v>
      </c>
    </row>
    <row r="25" spans="1:7" x14ac:dyDescent="0.3">
      <c r="A25" s="33" t="s">
        <v>34</v>
      </c>
      <c r="B25" s="34">
        <v>31.527777777777814</v>
      </c>
      <c r="C25" s="34">
        <v>63.638888888888864</v>
      </c>
      <c r="D25" s="34">
        <v>3.8711111111111123</v>
      </c>
      <c r="E25" s="35">
        <v>36</v>
      </c>
    </row>
    <row r="26" spans="1:7" x14ac:dyDescent="0.3">
      <c r="A26" s="33" t="s">
        <v>55</v>
      </c>
      <c r="B26" s="34">
        <v>26.954545454545453</v>
      </c>
      <c r="C26" s="34">
        <v>51.333333333333336</v>
      </c>
      <c r="D26" s="34">
        <v>4.3224242424242423</v>
      </c>
      <c r="E26" s="35">
        <v>66</v>
      </c>
    </row>
    <row r="27" spans="1:7" x14ac:dyDescent="0.3">
      <c r="A27" s="33" t="s">
        <v>23</v>
      </c>
      <c r="B27" s="34">
        <v>34.79054054054054</v>
      </c>
      <c r="C27" s="34">
        <v>57.871621621621621</v>
      </c>
      <c r="D27" s="34">
        <v>4.7938513513513499</v>
      </c>
      <c r="E27" s="35">
        <v>148</v>
      </c>
    </row>
    <row r="28" spans="1:7" x14ac:dyDescent="0.3">
      <c r="A28" s="33" t="s">
        <v>857</v>
      </c>
      <c r="B28" s="34">
        <v>32.252000000000002</v>
      </c>
      <c r="C28" s="34">
        <v>56.975999999999999</v>
      </c>
      <c r="D28" s="34">
        <v>4.5365200000000003</v>
      </c>
      <c r="E28" s="35">
        <v>250</v>
      </c>
    </row>
    <row r="32" spans="1:7" x14ac:dyDescent="0.3">
      <c r="A32" s="62" t="s">
        <v>864</v>
      </c>
      <c r="B32" s="62"/>
      <c r="C32" s="16"/>
      <c r="D32" s="16"/>
    </row>
    <row r="33" spans="1:5" x14ac:dyDescent="0.3">
      <c r="A33" s="37" t="s">
        <v>865</v>
      </c>
      <c r="B33" s="37" t="s">
        <v>812</v>
      </c>
      <c r="C33" s="37" t="s">
        <v>860</v>
      </c>
      <c r="D33" s="37" t="s">
        <v>861</v>
      </c>
    </row>
    <row r="34" spans="1:5" x14ac:dyDescent="0.3">
      <c r="A34" s="61" t="s">
        <v>866</v>
      </c>
      <c r="B34" s="45">
        <f>COUNTIF(Processed_Data!W2:W251,"Late Morning")</f>
        <v>52</v>
      </c>
      <c r="C34" s="45">
        <f>COUNTIFS(Processed_Data!W2:W251,"Late Morning",Processed_Data!P2:P251,"Yes")</f>
        <v>4</v>
      </c>
      <c r="D34" s="46">
        <f>C34/B34*100</f>
        <v>7.6923076923076925</v>
      </c>
    </row>
    <row r="35" spans="1:5" x14ac:dyDescent="0.3">
      <c r="A35" s="59" t="s">
        <v>867</v>
      </c>
      <c r="B35" s="40">
        <f>COUNTIF(Processed_Data!W2:W251,"Afternoon")</f>
        <v>62</v>
      </c>
      <c r="C35" s="40">
        <f>COUNTIFS(Processed_Data!W2:W251,"Afternoon",Processed_Data!P2:P251,"Yes")</f>
        <v>4</v>
      </c>
      <c r="D35" s="41">
        <f t="shared" ref="D35:D37" si="0">C35/B35*100</f>
        <v>6.4516129032258061</v>
      </c>
    </row>
    <row r="36" spans="1:5" x14ac:dyDescent="0.3">
      <c r="A36" s="59" t="s">
        <v>868</v>
      </c>
      <c r="B36" s="40">
        <f>COUNTIF(Processed_Data!W2:W251,"Evening")</f>
        <v>77</v>
      </c>
      <c r="C36" s="40">
        <f>COUNTIFS(Processed_Data!W2:W251,"Evening",Processed_Data!P2:P251,"Yes")</f>
        <v>7</v>
      </c>
      <c r="D36" s="41">
        <f t="shared" si="0"/>
        <v>9.0909090909090917</v>
      </c>
    </row>
    <row r="37" spans="1:5" x14ac:dyDescent="0.3">
      <c r="A37" s="60" t="s">
        <v>869</v>
      </c>
      <c r="B37" s="50">
        <f>COUNTIF(Processed_Data!W2:W251,"Peak Night")</f>
        <v>59</v>
      </c>
      <c r="C37" s="50">
        <f>COUNTIFS(Processed_Data!W2:W251,"Peak Night",Processed_Data!P2:P251,"Yes")</f>
        <v>2</v>
      </c>
      <c r="D37" s="51">
        <f t="shared" si="0"/>
        <v>3.3898305084745761</v>
      </c>
    </row>
    <row r="38" spans="1:5" x14ac:dyDescent="0.3">
      <c r="A38" s="37" t="s">
        <v>857</v>
      </c>
      <c r="B38" s="38">
        <f>SUM(B34:B37)</f>
        <v>250</v>
      </c>
      <c r="C38" s="38">
        <f>SUM(C34:C37)</f>
        <v>17</v>
      </c>
      <c r="D38" s="38"/>
    </row>
    <row r="42" spans="1:5" x14ac:dyDescent="0.3">
      <c r="A42" s="32" t="s">
        <v>8</v>
      </c>
      <c r="B42" s="16" t="s">
        <v>870</v>
      </c>
      <c r="C42" s="16" t="s">
        <v>862</v>
      </c>
      <c r="D42" s="16" t="s">
        <v>871</v>
      </c>
      <c r="E42" s="16" t="s">
        <v>872</v>
      </c>
    </row>
    <row r="43" spans="1:5" x14ac:dyDescent="0.3">
      <c r="A43" s="33" t="s">
        <v>126</v>
      </c>
      <c r="B43" s="34">
        <v>22.600000000000016</v>
      </c>
      <c r="C43" s="34">
        <v>43.399999999999984</v>
      </c>
      <c r="D43" s="34">
        <v>0.12373554169142394</v>
      </c>
      <c r="E43" s="35">
        <v>5</v>
      </c>
    </row>
    <row r="44" spans="1:5" x14ac:dyDescent="0.3">
      <c r="A44" s="33" t="s">
        <v>99</v>
      </c>
      <c r="B44" s="34">
        <v>28.928571428571448</v>
      </c>
      <c r="C44" s="34">
        <v>51.642857142857153</v>
      </c>
      <c r="D44" s="34">
        <v>0.1304787428508572</v>
      </c>
      <c r="E44" s="35">
        <v>14</v>
      </c>
    </row>
    <row r="45" spans="1:5" x14ac:dyDescent="0.3">
      <c r="A45" s="33" t="s">
        <v>65</v>
      </c>
      <c r="B45" s="34">
        <v>29.000000000000032</v>
      </c>
      <c r="C45" s="34">
        <v>50.999999999999993</v>
      </c>
      <c r="D45" s="34">
        <v>0.13118808166893894</v>
      </c>
      <c r="E45" s="35">
        <v>15</v>
      </c>
    </row>
    <row r="46" spans="1:5" x14ac:dyDescent="0.3">
      <c r="A46" s="33" t="s">
        <v>33</v>
      </c>
      <c r="B46" s="34">
        <v>29.090909090909111</v>
      </c>
      <c r="C46" s="34">
        <v>49.727272727272727</v>
      </c>
      <c r="D46" s="34">
        <v>0.13493249874962207</v>
      </c>
      <c r="E46" s="35">
        <v>11</v>
      </c>
    </row>
    <row r="47" spans="1:5" x14ac:dyDescent="0.3">
      <c r="A47" s="33" t="s">
        <v>118</v>
      </c>
      <c r="B47" s="34">
        <v>29.666666666666671</v>
      </c>
      <c r="C47" s="34">
        <v>53.066666666666677</v>
      </c>
      <c r="D47" s="34">
        <v>0.13278564472412674</v>
      </c>
      <c r="E47" s="35">
        <v>15</v>
      </c>
    </row>
    <row r="48" spans="1:5" x14ac:dyDescent="0.3">
      <c r="A48" s="33" t="s">
        <v>177</v>
      </c>
      <c r="B48" s="34">
        <v>30.124999999999972</v>
      </c>
      <c r="C48" s="34">
        <v>53.249999999999929</v>
      </c>
      <c r="D48" s="34">
        <v>0.12698640791556903</v>
      </c>
      <c r="E48" s="35">
        <v>8</v>
      </c>
    </row>
    <row r="49" spans="1:5" x14ac:dyDescent="0.3">
      <c r="A49" s="33" t="s">
        <v>45</v>
      </c>
      <c r="B49" s="34">
        <v>30.545454545454607</v>
      </c>
      <c r="C49" s="34">
        <v>54.090909090909093</v>
      </c>
      <c r="D49" s="34">
        <v>0.12993180107497379</v>
      </c>
      <c r="E49" s="35">
        <v>11</v>
      </c>
    </row>
    <row r="50" spans="1:5" x14ac:dyDescent="0.3">
      <c r="A50" s="33" t="s">
        <v>28</v>
      </c>
      <c r="B50" s="34">
        <v>32.083333333333343</v>
      </c>
      <c r="C50" s="34">
        <v>57.749999999999964</v>
      </c>
      <c r="D50" s="34">
        <v>0.1310778332577055</v>
      </c>
      <c r="E50" s="35">
        <v>12</v>
      </c>
    </row>
    <row r="51" spans="1:5" x14ac:dyDescent="0.3">
      <c r="A51" s="33" t="s">
        <v>211</v>
      </c>
      <c r="B51" s="34">
        <v>32.333333333333314</v>
      </c>
      <c r="C51" s="34">
        <v>62.2</v>
      </c>
      <c r="D51" s="34">
        <v>0.13183787856922127</v>
      </c>
      <c r="E51" s="35">
        <v>15</v>
      </c>
    </row>
    <row r="52" spans="1:5" x14ac:dyDescent="0.3">
      <c r="A52" s="33" t="s">
        <v>49</v>
      </c>
      <c r="B52" s="34">
        <v>32.399999999999963</v>
      </c>
      <c r="C52" s="34">
        <v>63.699999999999967</v>
      </c>
      <c r="D52" s="34">
        <v>0.13597259784046026</v>
      </c>
      <c r="E52" s="35">
        <v>10</v>
      </c>
    </row>
    <row r="53" spans="1:5" x14ac:dyDescent="0.3">
      <c r="A53" s="33" t="s">
        <v>69</v>
      </c>
      <c r="B53" s="34">
        <v>32.736842105263179</v>
      </c>
      <c r="C53" s="34">
        <v>53.052631578947334</v>
      </c>
      <c r="D53" s="34">
        <v>0.14222021619783765</v>
      </c>
      <c r="E53" s="35">
        <v>19</v>
      </c>
    </row>
    <row r="54" spans="1:5" x14ac:dyDescent="0.3">
      <c r="A54" s="33" t="s">
        <v>76</v>
      </c>
      <c r="B54" s="34">
        <v>33.214285714285708</v>
      </c>
      <c r="C54" s="34">
        <v>56.214285714285673</v>
      </c>
      <c r="D54" s="34">
        <v>0.14040626138376369</v>
      </c>
      <c r="E54" s="35">
        <v>14</v>
      </c>
    </row>
    <row r="55" spans="1:5" x14ac:dyDescent="0.3">
      <c r="A55" s="33" t="s">
        <v>62</v>
      </c>
      <c r="B55" s="34">
        <v>33.230769230769212</v>
      </c>
      <c r="C55" s="34">
        <v>59.999999999999972</v>
      </c>
      <c r="D55" s="34">
        <v>0.12799526374270778</v>
      </c>
      <c r="E55" s="35">
        <v>13</v>
      </c>
    </row>
    <row r="56" spans="1:5" x14ac:dyDescent="0.3">
      <c r="A56" s="33" t="s">
        <v>54</v>
      </c>
      <c r="B56" s="34">
        <v>33.588235294117638</v>
      </c>
      <c r="C56" s="34">
        <v>61.882352941176443</v>
      </c>
      <c r="D56" s="34">
        <v>0.14098533547203168</v>
      </c>
      <c r="E56" s="35">
        <v>17</v>
      </c>
    </row>
    <row r="57" spans="1:5" x14ac:dyDescent="0.3">
      <c r="A57" s="33" t="s">
        <v>90</v>
      </c>
      <c r="B57" s="34">
        <v>33.615384615384656</v>
      </c>
      <c r="C57" s="34">
        <v>55.692307692307693</v>
      </c>
      <c r="D57" s="34">
        <v>0.14412463143421944</v>
      </c>
      <c r="E57" s="35">
        <v>13</v>
      </c>
    </row>
    <row r="58" spans="1:5" x14ac:dyDescent="0.3">
      <c r="A58" s="33" t="s">
        <v>21</v>
      </c>
      <c r="B58" s="34">
        <v>33.619047619047663</v>
      </c>
      <c r="C58" s="34">
        <v>62.095238095238074</v>
      </c>
      <c r="D58" s="34">
        <v>0.13412220273870035</v>
      </c>
      <c r="E58" s="35">
        <v>21</v>
      </c>
    </row>
    <row r="59" spans="1:5" x14ac:dyDescent="0.3">
      <c r="A59" s="33" t="s">
        <v>160</v>
      </c>
      <c r="B59" s="34">
        <v>33.625000000000078</v>
      </c>
      <c r="C59" s="34">
        <v>54.625000000000071</v>
      </c>
      <c r="D59" s="34">
        <v>0.13515929235816476</v>
      </c>
      <c r="E59" s="35">
        <v>8</v>
      </c>
    </row>
    <row r="60" spans="1:5" x14ac:dyDescent="0.3">
      <c r="A60" s="33" t="s">
        <v>40</v>
      </c>
      <c r="B60" s="34">
        <v>34.79999999999999</v>
      </c>
      <c r="C60" s="34">
        <v>61.899999999999963</v>
      </c>
      <c r="D60" s="34">
        <v>0.14112787477557093</v>
      </c>
      <c r="E60" s="35">
        <v>10</v>
      </c>
    </row>
    <row r="61" spans="1:5" x14ac:dyDescent="0.3">
      <c r="A61" s="33" t="s">
        <v>122</v>
      </c>
      <c r="B61" s="34">
        <v>38.000000000000007</v>
      </c>
      <c r="C61" s="34">
        <v>63.249999999999979</v>
      </c>
      <c r="D61" s="34">
        <v>0.14235960106808246</v>
      </c>
      <c r="E61" s="35">
        <v>8</v>
      </c>
    </row>
    <row r="62" spans="1:5" x14ac:dyDescent="0.3">
      <c r="A62" s="33" t="s">
        <v>129</v>
      </c>
      <c r="B62" s="34">
        <v>38.181818181818201</v>
      </c>
      <c r="C62" s="34">
        <v>63.181818181818237</v>
      </c>
      <c r="D62" s="34">
        <v>0.1500826842145081</v>
      </c>
      <c r="E62" s="35">
        <v>11</v>
      </c>
    </row>
    <row r="63" spans="1:5" x14ac:dyDescent="0.3">
      <c r="A63" s="33" t="s">
        <v>857</v>
      </c>
      <c r="B63" s="34">
        <v>32.252000000000002</v>
      </c>
      <c r="C63" s="34">
        <v>56.975999999999999</v>
      </c>
      <c r="D63" s="34">
        <v>0.13578279803275914</v>
      </c>
      <c r="E63" s="35">
        <v>250</v>
      </c>
    </row>
    <row r="67" spans="1:4" x14ac:dyDescent="0.3">
      <c r="A67" s="32" t="s">
        <v>884</v>
      </c>
      <c r="B67" s="16" t="s">
        <v>859</v>
      </c>
      <c r="C67" s="16" t="s">
        <v>873</v>
      </c>
      <c r="D67" s="16" t="s">
        <v>874</v>
      </c>
    </row>
    <row r="68" spans="1:4" x14ac:dyDescent="0.3">
      <c r="A68" s="33">
        <v>10</v>
      </c>
      <c r="B68" s="35">
        <v>30</v>
      </c>
      <c r="C68" s="34">
        <v>57.999999999999993</v>
      </c>
      <c r="D68" s="34">
        <v>15.2</v>
      </c>
    </row>
    <row r="69" spans="1:4" x14ac:dyDescent="0.3">
      <c r="A69" s="33">
        <v>11</v>
      </c>
      <c r="B69" s="35">
        <v>22</v>
      </c>
      <c r="C69" s="34">
        <v>56.863636363636374</v>
      </c>
      <c r="D69" s="34">
        <v>14.909090909090908</v>
      </c>
    </row>
    <row r="70" spans="1:4" x14ac:dyDescent="0.3">
      <c r="A70" s="33">
        <v>12</v>
      </c>
      <c r="B70" s="35">
        <v>21</v>
      </c>
      <c r="C70" s="34">
        <v>55.761904761904759</v>
      </c>
      <c r="D70" s="34">
        <v>15</v>
      </c>
    </row>
    <row r="71" spans="1:4" x14ac:dyDescent="0.3">
      <c r="A71" s="33">
        <v>13</v>
      </c>
      <c r="B71" s="35">
        <v>19</v>
      </c>
      <c r="C71" s="34">
        <v>54.684210526315766</v>
      </c>
      <c r="D71" s="34">
        <v>15.210526315789474</v>
      </c>
    </row>
    <row r="72" spans="1:4" x14ac:dyDescent="0.3">
      <c r="A72" s="33">
        <v>14</v>
      </c>
      <c r="B72" s="35">
        <v>22</v>
      </c>
      <c r="C72" s="34">
        <v>50.954545454545453</v>
      </c>
      <c r="D72" s="34">
        <v>17.136363636363637</v>
      </c>
    </row>
    <row r="73" spans="1:4" x14ac:dyDescent="0.3">
      <c r="A73" s="33">
        <v>15</v>
      </c>
      <c r="B73" s="35">
        <v>19</v>
      </c>
      <c r="C73" s="34">
        <v>50.21052631578943</v>
      </c>
      <c r="D73" s="34">
        <v>17.526315789473685</v>
      </c>
    </row>
    <row r="74" spans="1:4" x14ac:dyDescent="0.3">
      <c r="A74" s="33">
        <v>16</v>
      </c>
      <c r="B74" s="35">
        <v>25</v>
      </c>
      <c r="C74" s="34">
        <v>52.52000000000001</v>
      </c>
      <c r="D74" s="34">
        <v>17.68</v>
      </c>
    </row>
    <row r="75" spans="1:4" x14ac:dyDescent="0.3">
      <c r="A75" s="33">
        <v>17</v>
      </c>
      <c r="B75" s="35">
        <v>33</v>
      </c>
      <c r="C75" s="34">
        <v>59.545454545454554</v>
      </c>
      <c r="D75" s="34">
        <v>15.030303030303031</v>
      </c>
    </row>
    <row r="76" spans="1:4" x14ac:dyDescent="0.3">
      <c r="A76" s="33">
        <v>18</v>
      </c>
      <c r="B76" s="35">
        <v>23</v>
      </c>
      <c r="C76" s="34">
        <v>60.826086956521721</v>
      </c>
      <c r="D76" s="34">
        <v>15.260869565217391</v>
      </c>
    </row>
    <row r="77" spans="1:4" x14ac:dyDescent="0.3">
      <c r="A77" s="33">
        <v>19</v>
      </c>
      <c r="B77" s="35">
        <v>35</v>
      </c>
      <c r="C77" s="34">
        <v>63.514285714285691</v>
      </c>
      <c r="D77" s="34">
        <v>9.8857142857142861</v>
      </c>
    </row>
    <row r="78" spans="1:4" x14ac:dyDescent="0.3">
      <c r="A78" s="33">
        <v>20</v>
      </c>
      <c r="B78" s="35">
        <v>1</v>
      </c>
      <c r="C78" s="34">
        <v>67.999999999999915</v>
      </c>
      <c r="D78" s="34">
        <v>11</v>
      </c>
    </row>
    <row r="79" spans="1:4" x14ac:dyDescent="0.3">
      <c r="A79" s="33" t="s">
        <v>857</v>
      </c>
      <c r="B79" s="35">
        <v>250</v>
      </c>
      <c r="C79" s="34">
        <v>56.975999999999999</v>
      </c>
      <c r="D79" s="34">
        <v>14.976000000000001</v>
      </c>
    </row>
    <row r="83" spans="1:4" x14ac:dyDescent="0.3">
      <c r="A83" s="32" t="s">
        <v>879</v>
      </c>
      <c r="B83" s="16" t="s">
        <v>862</v>
      </c>
      <c r="C83" s="16" t="s">
        <v>823</v>
      </c>
      <c r="D83" s="16" t="s">
        <v>859</v>
      </c>
    </row>
    <row r="84" spans="1:4" x14ac:dyDescent="0.3">
      <c r="A84" s="33" t="s">
        <v>876</v>
      </c>
      <c r="B84" s="17">
        <v>66.733333333333334</v>
      </c>
      <c r="C84" s="17">
        <v>42.35238095238094</v>
      </c>
      <c r="D84" s="58">
        <v>105</v>
      </c>
    </row>
    <row r="85" spans="1:4" x14ac:dyDescent="0.3">
      <c r="A85" s="33" t="s">
        <v>877</v>
      </c>
      <c r="B85" s="17">
        <v>52.399999999999991</v>
      </c>
      <c r="C85" s="17">
        <v>27.790476190476188</v>
      </c>
      <c r="D85" s="58">
        <v>105</v>
      </c>
    </row>
    <row r="86" spans="1:4" x14ac:dyDescent="0.3">
      <c r="A86" s="33" t="s">
        <v>878</v>
      </c>
      <c r="B86" s="17">
        <v>43.374999999999979</v>
      </c>
      <c r="C86" s="17">
        <v>17.450000000000014</v>
      </c>
      <c r="D86" s="58">
        <v>40</v>
      </c>
    </row>
    <row r="87" spans="1:4" x14ac:dyDescent="0.3">
      <c r="A87" s="33" t="s">
        <v>857</v>
      </c>
      <c r="B87" s="17">
        <v>56.975999999999999</v>
      </c>
      <c r="C87" s="17">
        <v>32.251999999999995</v>
      </c>
      <c r="D87" s="58">
        <v>250</v>
      </c>
    </row>
  </sheetData>
  <mergeCells count="1">
    <mergeCell ref="A32:B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J72"/>
  <sheetViews>
    <sheetView tabSelected="1" zoomScale="90" zoomScaleNormal="90" workbookViewId="0">
      <selection activeCell="G114" sqref="G114"/>
    </sheetView>
  </sheetViews>
  <sheetFormatPr defaultRowHeight="14.4" x14ac:dyDescent="0.3"/>
  <cols>
    <col min="1" max="1" width="8.88671875" customWidth="1"/>
    <col min="7" max="7" width="136.109375" customWidth="1"/>
    <col min="8" max="8" width="18.21875" style="80" customWidth="1"/>
    <col min="9" max="9" width="25" style="79" customWidth="1"/>
    <col min="10" max="10" width="22.33203125" style="79" customWidth="1"/>
  </cols>
  <sheetData>
    <row r="1" spans="8:10" x14ac:dyDescent="0.3">
      <c r="H1" s="77" t="s">
        <v>852</v>
      </c>
      <c r="I1" s="78" t="s">
        <v>881</v>
      </c>
    </row>
    <row r="2" spans="8:10" x14ac:dyDescent="0.3">
      <c r="H2" s="80" t="s">
        <v>820</v>
      </c>
      <c r="I2" s="79">
        <v>17.920000000000002</v>
      </c>
    </row>
    <row r="3" spans="8:10" x14ac:dyDescent="0.3">
      <c r="H3" s="80" t="s">
        <v>821</v>
      </c>
      <c r="I3" s="79">
        <v>2.6799999999999931</v>
      </c>
    </row>
    <row r="4" spans="8:10" x14ac:dyDescent="0.3">
      <c r="H4" s="80" t="s">
        <v>822</v>
      </c>
      <c r="I4" s="79">
        <v>4.1239999999999952</v>
      </c>
    </row>
    <row r="5" spans="8:10" x14ac:dyDescent="0.3">
      <c r="H5" s="80" t="s">
        <v>823</v>
      </c>
      <c r="I5" s="79">
        <v>32.252000000000002</v>
      </c>
    </row>
    <row r="9" spans="8:10" x14ac:dyDescent="0.3">
      <c r="H9" s="77" t="s">
        <v>880</v>
      </c>
      <c r="I9" s="78" t="s">
        <v>858</v>
      </c>
    </row>
    <row r="10" spans="8:10" x14ac:dyDescent="0.3">
      <c r="H10" s="80" t="s">
        <v>855</v>
      </c>
      <c r="I10" s="79">
        <v>54.059322033898297</v>
      </c>
    </row>
    <row r="11" spans="8:10" x14ac:dyDescent="0.3">
      <c r="H11" s="80" t="s">
        <v>856</v>
      </c>
      <c r="I11" s="79">
        <v>59.583333333333329</v>
      </c>
    </row>
    <row r="14" spans="8:10" x14ac:dyDescent="0.3">
      <c r="H14" s="77" t="s">
        <v>882</v>
      </c>
      <c r="I14" s="78" t="s">
        <v>820</v>
      </c>
      <c r="J14" s="78" t="s">
        <v>862</v>
      </c>
    </row>
    <row r="15" spans="8:10" x14ac:dyDescent="0.3">
      <c r="H15" s="80" t="s">
        <v>594</v>
      </c>
      <c r="I15" s="79">
        <v>32</v>
      </c>
      <c r="J15" s="79">
        <v>75.435897435897431</v>
      </c>
    </row>
    <row r="16" spans="8:10" x14ac:dyDescent="0.3">
      <c r="H16" s="80" t="s">
        <v>597</v>
      </c>
      <c r="I16" s="79">
        <v>15.317535545023697</v>
      </c>
      <c r="J16" s="79">
        <v>53.563981042654028</v>
      </c>
    </row>
    <row r="19" spans="8:10" x14ac:dyDescent="0.3">
      <c r="H19" s="77" t="s">
        <v>883</v>
      </c>
      <c r="I19" s="78" t="s">
        <v>823</v>
      </c>
      <c r="J19" s="78" t="s">
        <v>863</v>
      </c>
    </row>
    <row r="20" spans="8:10" x14ac:dyDescent="0.3">
      <c r="H20" s="80" t="s">
        <v>34</v>
      </c>
      <c r="I20" s="79">
        <v>31.527777777777814</v>
      </c>
      <c r="J20" s="79">
        <v>3.8711111111111123</v>
      </c>
    </row>
    <row r="21" spans="8:10" x14ac:dyDescent="0.3">
      <c r="H21" s="80" t="s">
        <v>55</v>
      </c>
      <c r="I21" s="79">
        <v>26.954545454545453</v>
      </c>
      <c r="J21" s="79">
        <v>4.3224242424242423</v>
      </c>
    </row>
    <row r="22" spans="8:10" x14ac:dyDescent="0.3">
      <c r="H22" s="80" t="s">
        <v>23</v>
      </c>
      <c r="I22" s="79">
        <v>34.79054054054054</v>
      </c>
      <c r="J22" s="79">
        <v>4.7938513513513499</v>
      </c>
    </row>
    <row r="25" spans="8:10" x14ac:dyDescent="0.3">
      <c r="H25" s="77" t="s">
        <v>865</v>
      </c>
      <c r="I25" s="78" t="s">
        <v>861</v>
      </c>
    </row>
    <row r="26" spans="8:10" x14ac:dyDescent="0.3">
      <c r="H26" s="80" t="s">
        <v>866</v>
      </c>
      <c r="I26" s="79">
        <v>7.6923076923076925</v>
      </c>
    </row>
    <row r="27" spans="8:10" x14ac:dyDescent="0.3">
      <c r="H27" s="80" t="s">
        <v>867</v>
      </c>
      <c r="I27" s="79">
        <v>6.4516129032258061</v>
      </c>
    </row>
    <row r="28" spans="8:10" x14ac:dyDescent="0.3">
      <c r="H28" s="80" t="s">
        <v>868</v>
      </c>
      <c r="I28" s="79">
        <v>9.0909090909090917</v>
      </c>
    </row>
    <row r="29" spans="8:10" x14ac:dyDescent="0.3">
      <c r="H29" s="80" t="s">
        <v>869</v>
      </c>
      <c r="I29" s="79">
        <v>3.3898305084745761</v>
      </c>
    </row>
    <row r="32" spans="8:10" x14ac:dyDescent="0.3">
      <c r="H32" s="77" t="s">
        <v>8</v>
      </c>
      <c r="I32" s="78" t="s">
        <v>870</v>
      </c>
    </row>
    <row r="33" spans="8:9" x14ac:dyDescent="0.3">
      <c r="H33" s="80" t="s">
        <v>126</v>
      </c>
      <c r="I33" s="79">
        <v>22.600000000000016</v>
      </c>
    </row>
    <row r="34" spans="8:9" x14ac:dyDescent="0.3">
      <c r="H34" s="80" t="s">
        <v>99</v>
      </c>
      <c r="I34" s="79">
        <v>28.928571428571448</v>
      </c>
    </row>
    <row r="35" spans="8:9" x14ac:dyDescent="0.3">
      <c r="H35" s="80" t="s">
        <v>65</v>
      </c>
      <c r="I35" s="79">
        <v>29.000000000000032</v>
      </c>
    </row>
    <row r="36" spans="8:9" x14ac:dyDescent="0.3">
      <c r="H36" s="80" t="s">
        <v>33</v>
      </c>
      <c r="I36" s="79">
        <v>29.090909090909111</v>
      </c>
    </row>
    <row r="37" spans="8:9" x14ac:dyDescent="0.3">
      <c r="H37" s="80" t="s">
        <v>118</v>
      </c>
      <c r="I37" s="79">
        <v>29.666666666666671</v>
      </c>
    </row>
    <row r="38" spans="8:9" x14ac:dyDescent="0.3">
      <c r="H38" s="80" t="s">
        <v>177</v>
      </c>
      <c r="I38" s="79">
        <v>30.124999999999972</v>
      </c>
    </row>
    <row r="39" spans="8:9" x14ac:dyDescent="0.3">
      <c r="H39" s="80" t="s">
        <v>45</v>
      </c>
      <c r="I39" s="79">
        <v>30.545454545454607</v>
      </c>
    </row>
    <row r="40" spans="8:9" x14ac:dyDescent="0.3">
      <c r="H40" s="80" t="s">
        <v>28</v>
      </c>
      <c r="I40" s="79">
        <v>32.083333333333343</v>
      </c>
    </row>
    <row r="41" spans="8:9" x14ac:dyDescent="0.3">
      <c r="H41" s="80" t="s">
        <v>211</v>
      </c>
      <c r="I41" s="79">
        <v>32.333333333333314</v>
      </c>
    </row>
    <row r="42" spans="8:9" x14ac:dyDescent="0.3">
      <c r="H42" s="80" t="s">
        <v>49</v>
      </c>
      <c r="I42" s="79">
        <v>32.399999999999963</v>
      </c>
    </row>
    <row r="43" spans="8:9" x14ac:dyDescent="0.3">
      <c r="H43" s="80" t="s">
        <v>69</v>
      </c>
      <c r="I43" s="79">
        <v>32.736842105263179</v>
      </c>
    </row>
    <row r="44" spans="8:9" x14ac:dyDescent="0.3">
      <c r="H44" s="80" t="s">
        <v>76</v>
      </c>
      <c r="I44" s="79">
        <v>33.214285714285708</v>
      </c>
    </row>
    <row r="45" spans="8:9" x14ac:dyDescent="0.3">
      <c r="H45" s="80" t="s">
        <v>62</v>
      </c>
      <c r="I45" s="79">
        <v>33.230769230769212</v>
      </c>
    </row>
    <row r="46" spans="8:9" x14ac:dyDescent="0.3">
      <c r="H46" s="80" t="s">
        <v>54</v>
      </c>
      <c r="I46" s="79">
        <v>33.588235294117638</v>
      </c>
    </row>
    <row r="47" spans="8:9" x14ac:dyDescent="0.3">
      <c r="H47" s="80" t="s">
        <v>90</v>
      </c>
      <c r="I47" s="79">
        <v>33.615384615384656</v>
      </c>
    </row>
    <row r="48" spans="8:9" x14ac:dyDescent="0.3">
      <c r="H48" s="80" t="s">
        <v>21</v>
      </c>
      <c r="I48" s="79">
        <v>33.619047619047663</v>
      </c>
    </row>
    <row r="49" spans="8:10" x14ac:dyDescent="0.3">
      <c r="H49" s="80" t="s">
        <v>160</v>
      </c>
      <c r="I49" s="79">
        <v>33.625000000000078</v>
      </c>
    </row>
    <row r="50" spans="8:10" x14ac:dyDescent="0.3">
      <c r="H50" s="80" t="s">
        <v>40</v>
      </c>
      <c r="I50" s="79">
        <v>34.79999999999999</v>
      </c>
    </row>
    <row r="51" spans="8:10" x14ac:dyDescent="0.3">
      <c r="H51" s="80" t="s">
        <v>122</v>
      </c>
      <c r="I51" s="79">
        <v>38.000000000000007</v>
      </c>
    </row>
    <row r="52" spans="8:10" x14ac:dyDescent="0.3">
      <c r="H52" s="80" t="s">
        <v>129</v>
      </c>
      <c r="I52" s="79">
        <v>38.181818181818201</v>
      </c>
    </row>
    <row r="55" spans="8:10" x14ac:dyDescent="0.3">
      <c r="H55" s="77" t="s">
        <v>884</v>
      </c>
      <c r="I55" s="78" t="s">
        <v>859</v>
      </c>
      <c r="J55" s="78" t="s">
        <v>874</v>
      </c>
    </row>
    <row r="56" spans="8:10" x14ac:dyDescent="0.3">
      <c r="H56" s="80">
        <v>10</v>
      </c>
      <c r="I56" s="79">
        <v>30</v>
      </c>
      <c r="J56" s="79">
        <v>15.2</v>
      </c>
    </row>
    <row r="57" spans="8:10" x14ac:dyDescent="0.3">
      <c r="H57" s="80">
        <v>11</v>
      </c>
      <c r="I57" s="79">
        <v>22</v>
      </c>
      <c r="J57" s="79">
        <v>14.909090909090908</v>
      </c>
    </row>
    <row r="58" spans="8:10" x14ac:dyDescent="0.3">
      <c r="H58" s="80">
        <v>12</v>
      </c>
      <c r="I58" s="79">
        <v>21</v>
      </c>
      <c r="J58" s="79">
        <v>15</v>
      </c>
    </row>
    <row r="59" spans="8:10" x14ac:dyDescent="0.3">
      <c r="H59" s="80">
        <v>13</v>
      </c>
      <c r="I59" s="79">
        <v>19</v>
      </c>
      <c r="J59" s="79">
        <v>15.210526315789474</v>
      </c>
    </row>
    <row r="60" spans="8:10" x14ac:dyDescent="0.3">
      <c r="H60" s="80">
        <v>14</v>
      </c>
      <c r="I60" s="79">
        <v>22</v>
      </c>
      <c r="J60" s="79">
        <v>17.136363636363637</v>
      </c>
    </row>
    <row r="61" spans="8:10" x14ac:dyDescent="0.3">
      <c r="H61" s="80">
        <v>15</v>
      </c>
      <c r="I61" s="79">
        <v>19</v>
      </c>
      <c r="J61" s="79">
        <v>17.526315789473685</v>
      </c>
    </row>
    <row r="62" spans="8:10" x14ac:dyDescent="0.3">
      <c r="H62" s="80">
        <v>16</v>
      </c>
      <c r="I62" s="79">
        <v>25</v>
      </c>
      <c r="J62" s="79">
        <v>17.68</v>
      </c>
    </row>
    <row r="63" spans="8:10" x14ac:dyDescent="0.3">
      <c r="H63" s="80">
        <v>17</v>
      </c>
      <c r="I63" s="79">
        <v>33</v>
      </c>
      <c r="J63" s="79">
        <v>15.030303030303031</v>
      </c>
    </row>
    <row r="64" spans="8:10" x14ac:dyDescent="0.3">
      <c r="H64" s="80">
        <v>18</v>
      </c>
      <c r="I64" s="79">
        <v>23</v>
      </c>
      <c r="J64" s="79">
        <v>15.260869565217391</v>
      </c>
    </row>
    <row r="65" spans="8:10" x14ac:dyDescent="0.3">
      <c r="H65" s="80">
        <v>19</v>
      </c>
      <c r="I65" s="79">
        <v>35</v>
      </c>
      <c r="J65" s="79">
        <v>9.8857142857142861</v>
      </c>
    </row>
    <row r="66" spans="8:10" x14ac:dyDescent="0.3">
      <c r="H66" s="80">
        <v>20</v>
      </c>
      <c r="I66" s="79">
        <v>1</v>
      </c>
      <c r="J66" s="79">
        <v>11</v>
      </c>
    </row>
    <row r="69" spans="8:10" x14ac:dyDescent="0.3">
      <c r="H69" s="77" t="s">
        <v>879</v>
      </c>
      <c r="I69" s="78" t="s">
        <v>862</v>
      </c>
    </row>
    <row r="70" spans="8:10" x14ac:dyDescent="0.3">
      <c r="H70" s="80" t="s">
        <v>876</v>
      </c>
      <c r="I70" s="79">
        <v>66.733333333333334</v>
      </c>
    </row>
    <row r="71" spans="8:10" x14ac:dyDescent="0.3">
      <c r="H71" s="80" t="s">
        <v>877</v>
      </c>
      <c r="I71" s="79">
        <v>52.399999999999991</v>
      </c>
    </row>
    <row r="72" spans="8:10" x14ac:dyDescent="0.3">
      <c r="H72" s="80" t="s">
        <v>878</v>
      </c>
      <c r="I72" s="79">
        <v>43.374999999999979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Processed_Data</vt:lpstr>
      <vt:lpstr>KPI_Dashboard</vt:lpstr>
      <vt:lpstr>Pivot_Tables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2026-04-24T12:22:59Z</dcterms:modified>
</cp:coreProperties>
</file>